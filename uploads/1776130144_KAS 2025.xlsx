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KOPSIS 2025\"/>
    </mc:Choice>
  </mc:AlternateContent>
  <xr:revisionPtr revIDLastSave="0" documentId="13_ncr:1_{5382130E-1F54-493E-9666-EA4E7093FEEB}" xr6:coauthVersionLast="46" xr6:coauthVersionMax="46" xr10:uidLastSave="{00000000-0000-0000-0000-000000000000}"/>
  <bookViews>
    <workbookView xWindow="-120" yWindow="-120" windowWidth="20730" windowHeight="11160" activeTab="4" xr2:uid="{00000000-000D-0000-FFFF-FFFF00000000}"/>
  </bookViews>
  <sheets>
    <sheet name="Jan" sheetId="1" r:id="rId1"/>
    <sheet name="Feb" sheetId="2" r:id="rId2"/>
    <sheet name="Mar " sheetId="3" r:id="rId3"/>
    <sheet name="Apr " sheetId="4" r:id="rId4"/>
    <sheet name="Mei " sheetId="5" r:id="rId5"/>
    <sheet name="Jun " sheetId="6" r:id="rId6"/>
    <sheet name="jul " sheetId="7" r:id="rId7"/>
    <sheet name="agus " sheetId="8" r:id="rId8"/>
    <sheet name="sept " sheetId="9" r:id="rId9"/>
    <sheet name="okt " sheetId="10" r:id="rId10"/>
    <sheet name="Nov " sheetId="11" r:id="rId11"/>
    <sheet name="Des " sheetId="12" r:id="rId12"/>
    <sheet name="Sheet1" sheetId="13" r:id="rId13"/>
  </sheets>
  <calcPr calcId="191029"/>
</workbook>
</file>

<file path=xl/calcChain.xml><?xml version="1.0" encoding="utf-8"?>
<calcChain xmlns="http://schemas.openxmlformats.org/spreadsheetml/2006/main">
  <c r="F13" i="4" l="1"/>
  <c r="F12" i="4"/>
  <c r="F11" i="4"/>
  <c r="F5" i="4"/>
  <c r="F6" i="4" s="1"/>
  <c r="F7" i="4" s="1"/>
  <c r="F8" i="4" s="1"/>
  <c r="F9" i="4" s="1"/>
  <c r="F10" i="4" s="1"/>
  <c r="F8" i="3"/>
  <c r="F7" i="3"/>
  <c r="F6" i="3"/>
  <c r="F10" i="2"/>
  <c r="F11" i="2" s="1"/>
  <c r="F8" i="2"/>
  <c r="F6" i="2"/>
  <c r="F7" i="2"/>
  <c r="E36" i="1"/>
  <c r="F26" i="1"/>
  <c r="F25" i="1"/>
  <c r="F24" i="1"/>
  <c r="F23" i="1"/>
  <c r="F22" i="1"/>
  <c r="F21" i="1"/>
  <c r="F20" i="1"/>
  <c r="F19" i="1"/>
  <c r="F18" i="1"/>
  <c r="F16" i="1"/>
  <c r="F14" i="1"/>
  <c r="F12" i="1"/>
  <c r="F11" i="1"/>
  <c r="F10" i="1"/>
  <c r="F9" i="1"/>
  <c r="F8" i="1"/>
  <c r="F7" i="1"/>
  <c r="F6" i="1"/>
  <c r="E31" i="12"/>
  <c r="F5" i="1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E19" i="11" s="1"/>
  <c r="F5" i="10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E21" i="10" s="1"/>
  <c r="E19" i="8" l="1"/>
  <c r="D19" i="8"/>
  <c r="E15" i="7" l="1"/>
  <c r="D17" i="6"/>
  <c r="D21" i="5" l="1"/>
  <c r="E21" i="5"/>
  <c r="E15" i="4" l="1"/>
  <c r="D15" i="4"/>
  <c r="E21" i="3"/>
  <c r="E23" i="3" s="1"/>
  <c r="D21" i="3"/>
  <c r="F5" i="12" l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E32" i="12" s="1"/>
  <c r="F5" i="3" l="1"/>
  <c r="F5" i="2"/>
  <c r="F5" i="9" l="1"/>
  <c r="F6" i="9" s="1"/>
  <c r="F5" i="8"/>
  <c r="F6" i="8" s="1"/>
  <c r="F7" i="8" s="1"/>
  <c r="F8" i="8" s="1"/>
  <c r="F9" i="8" s="1"/>
  <c r="F10" i="8" s="1"/>
  <c r="F11" i="8" s="1"/>
  <c r="F12" i="8" s="1"/>
  <c r="F13" i="8" s="1"/>
  <c r="F14" i="8" s="1"/>
  <c r="E20" i="8" s="1"/>
  <c r="F5" i="7"/>
  <c r="D15" i="7"/>
  <c r="F5" i="6"/>
  <c r="F6" i="6" s="1"/>
  <c r="F7" i="6" s="1"/>
  <c r="F8" i="6" s="1"/>
  <c r="F9" i="6" s="1"/>
  <c r="F10" i="6" s="1"/>
  <c r="F11" i="6" s="1"/>
  <c r="F12" i="6" s="1"/>
  <c r="F13" i="6" s="1"/>
  <c r="F14" i="6" s="1"/>
  <c r="F5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E22" i="5" s="1"/>
  <c r="E23" i="5" s="1"/>
  <c r="F7" i="9" l="1"/>
  <c r="F8" i="9" s="1"/>
  <c r="F6" i="7"/>
  <c r="F7" i="7" s="1"/>
  <c r="F8" i="7" s="1"/>
  <c r="F9" i="7" s="1"/>
  <c r="F10" i="7" s="1"/>
  <c r="F11" i="7" s="1"/>
  <c r="F12" i="7" s="1"/>
  <c r="F13" i="7" s="1"/>
  <c r="F14" i="7" s="1"/>
  <c r="E16" i="7" s="1"/>
  <c r="F9" i="2"/>
  <c r="F12" i="2" s="1"/>
  <c r="F13" i="2" s="1"/>
  <c r="F14" i="2" s="1"/>
  <c r="F15" i="2" s="1"/>
  <c r="F16" i="2" s="1"/>
  <c r="F9" i="9" l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E22" i="9" s="1"/>
  <c r="F5" i="1"/>
  <c r="D35" i="1"/>
  <c r="E18" i="6" l="1"/>
  <c r="D18" i="11" l="1"/>
  <c r="E21" i="9" l="1"/>
  <c r="D21" i="9"/>
  <c r="E23" i="9" l="1"/>
  <c r="E19" i="2" l="1"/>
  <c r="D19" i="2"/>
  <c r="E35" i="1"/>
  <c r="E17" i="7" l="1"/>
  <c r="D31" i="12"/>
  <c r="E18" i="11"/>
  <c r="E20" i="10"/>
  <c r="D20" i="10"/>
  <c r="E17" i="6"/>
  <c r="E17" i="4"/>
  <c r="E37" i="1" l="1"/>
  <c r="E21" i="2"/>
  <c r="E21" i="8"/>
  <c r="E22" i="10" l="1"/>
  <c r="E20" i="11" l="1"/>
  <c r="E19" i="6" l="1"/>
  <c r="E33" i="12" l="1"/>
</calcChain>
</file>

<file path=xl/sharedStrings.xml><?xml version="1.0" encoding="utf-8"?>
<sst xmlns="http://schemas.openxmlformats.org/spreadsheetml/2006/main" count="275" uniqueCount="127">
  <si>
    <t>TANGGAL</t>
  </si>
  <si>
    <t>KETERANGAN</t>
  </si>
  <si>
    <t>DEBET</t>
  </si>
  <si>
    <t>KREDIT</t>
  </si>
  <si>
    <t>SALDO</t>
  </si>
  <si>
    <t>Transaksi</t>
  </si>
  <si>
    <t>JUMLAH</t>
  </si>
  <si>
    <t>JUMLAH KONTROL</t>
  </si>
  <si>
    <t xml:space="preserve"> </t>
  </si>
  <si>
    <t>jumlah kontrol</t>
  </si>
  <si>
    <t xml:space="preserve">JUMLAH </t>
  </si>
  <si>
    <t>Saldo Bulan Januari</t>
  </si>
  <si>
    <t>Honor Karyawan</t>
  </si>
  <si>
    <t>Transpor Pengurus</t>
  </si>
  <si>
    <t>Saldo bulan Februari</t>
  </si>
  <si>
    <t>Saldo bulan Maret</t>
  </si>
  <si>
    <t>Saldo bulan April</t>
  </si>
  <si>
    <t>Saldo bulan Mei</t>
  </si>
  <si>
    <t>Saldo bulan Juni</t>
  </si>
  <si>
    <t>Saldo bulan Juli</t>
  </si>
  <si>
    <t>Saldo bulan Agustus</t>
  </si>
  <si>
    <t>Saldo Bulan September</t>
  </si>
  <si>
    <t>Saldo Bulan Oktober</t>
  </si>
  <si>
    <t>Saldo Bulan November</t>
  </si>
  <si>
    <t>Biaya Organisasi</t>
  </si>
  <si>
    <t>Biaya Tutup Buku Tahunan</t>
  </si>
  <si>
    <t>ATK</t>
  </si>
  <si>
    <t>Terima Niaga</t>
  </si>
  <si>
    <t>Dikeluarkan SHU</t>
  </si>
  <si>
    <t>Belanja Niaga</t>
  </si>
  <si>
    <t>KAS SEPTEMBER 2021</t>
  </si>
  <si>
    <t>Terima Simpanan Kelas XI &amp; XII</t>
  </si>
  <si>
    <t>Terima Belanja Niaga</t>
  </si>
  <si>
    <t>Dikeluarkan Simpnan Kelas XII</t>
  </si>
  <si>
    <t>Terima Simpanan Kelas X</t>
  </si>
  <si>
    <t>Biaya Rapat-rapat</t>
  </si>
  <si>
    <t>Biaya RAT Tahun 2021</t>
  </si>
  <si>
    <t>Honor Pengurus Dll</t>
  </si>
  <si>
    <t>Beli Sedotan Dan Plastik</t>
  </si>
  <si>
    <t>Dikeluarkan Simpanan Kelas XII</t>
  </si>
  <si>
    <t>jmkkky7u</t>
  </si>
  <si>
    <t>Saldo bulan Desember 2021</t>
  </si>
  <si>
    <t>Terima cad.Modal</t>
  </si>
  <si>
    <t>Honor Pengurus</t>
  </si>
  <si>
    <t xml:space="preserve">Terima Niaga </t>
  </si>
  <si>
    <t>Belanja Atribut</t>
  </si>
  <si>
    <t>KAS MEI 2022</t>
  </si>
  <si>
    <t xml:space="preserve">Dp sabuk </t>
  </si>
  <si>
    <t>Teriama Simp kopsis</t>
  </si>
  <si>
    <t>Terima Modal Donasi</t>
  </si>
  <si>
    <t>Transfer Niaga</t>
  </si>
  <si>
    <t>Transfer Pengurus</t>
  </si>
  <si>
    <t>Dikeluarkan simp lain-lain (SHU KLS 12)</t>
  </si>
  <si>
    <t>Dikeluarkan Simp kelas 12</t>
  </si>
  <si>
    <t>KAS JUNI 2022</t>
  </si>
  <si>
    <t>Belanja Sabuk</t>
  </si>
  <si>
    <t xml:space="preserve">Belanja Niaga </t>
  </si>
  <si>
    <t>Terima Simp Kopsis</t>
  </si>
  <si>
    <t>Transfor Niaga</t>
  </si>
  <si>
    <t>Transfor Pengurus</t>
  </si>
  <si>
    <t>KAS JULI 2022</t>
  </si>
  <si>
    <t>(byr Modul Pengurus)</t>
  </si>
  <si>
    <t>Dikeluarkan Simp Pend</t>
  </si>
  <si>
    <t>KAS AGUSTUS 2022</t>
  </si>
  <si>
    <t xml:space="preserve">FotoCopy(Surat Pemberitahuan </t>
  </si>
  <si>
    <t>otru)</t>
  </si>
  <si>
    <t>Terima Niaga(Tunai)</t>
  </si>
  <si>
    <t>Terima Simpanan Kopsis kelas X</t>
  </si>
  <si>
    <t>Dikeluarkan Dana Sosial (kaos tim sepak bola</t>
  </si>
  <si>
    <t>Beli kursi plastik (3 buah)</t>
  </si>
  <si>
    <t>Dikeluarkan Simpanan Kopsis kelas XI</t>
  </si>
  <si>
    <t>Terima belanja niaga</t>
  </si>
  <si>
    <t>Terima niaga (tunai)</t>
  </si>
  <si>
    <t>Terima simpanan Kopsis kelas XII</t>
  </si>
  <si>
    <t>Honor karyawan</t>
  </si>
  <si>
    <t>Transpor niaga</t>
  </si>
  <si>
    <t>Transpor pengurus</t>
  </si>
  <si>
    <t>Terima pengurus</t>
  </si>
  <si>
    <t>KAS OKTOBER 2022</t>
  </si>
  <si>
    <t>Dikeluarkan Dana Sosial (Ta'ziah)</t>
  </si>
  <si>
    <t>Servis showcase</t>
  </si>
  <si>
    <t>Dikeluarkan Simpanan Kopsis kelas XII</t>
  </si>
  <si>
    <t>Dikeluarkan simpanan kopsis kelas XI</t>
  </si>
  <si>
    <t>Dikeluarkan simpanan kopsis kelas XII</t>
  </si>
  <si>
    <t>KAS NOVEMBER 2022</t>
  </si>
  <si>
    <t>Belanja niaga</t>
  </si>
  <si>
    <t>Dikeluarkan Simpnan Kelas XI</t>
  </si>
  <si>
    <t>Dikeluarkan Dana Pendidikan (Modul Pengurus)</t>
  </si>
  <si>
    <t>Terima Simpanan kopsis kelas X, XI dan XII</t>
  </si>
  <si>
    <t>Terima Niaga (tunai)</t>
  </si>
  <si>
    <t>Bonus karyawan</t>
  </si>
  <si>
    <t>Terima modal donasi</t>
  </si>
  <si>
    <t>Kwitansi</t>
  </si>
  <si>
    <t>Alat-alat kebersihan</t>
  </si>
  <si>
    <t>Dikeluarkan Simpanan kopsis</t>
  </si>
  <si>
    <t>Dikeluarkan modal donasi</t>
  </si>
  <si>
    <t>Sumbangan ke SMKN 1 Majalengka</t>
  </si>
  <si>
    <t>KAS DESEMBER 2022</t>
  </si>
  <si>
    <t>Terima simp. Lain-lain</t>
  </si>
  <si>
    <t>Terima dana kesejahteraan</t>
  </si>
  <si>
    <t>Terima dana pendidikan</t>
  </si>
  <si>
    <t>Terima dana sosial</t>
  </si>
  <si>
    <t>(Sum. Masjid)</t>
  </si>
  <si>
    <t>Dikeluarkan dana kesejahteraan</t>
  </si>
  <si>
    <t>(Transport anggota)</t>
  </si>
  <si>
    <t>Dikeluarkan dana pendidikan</t>
  </si>
  <si>
    <t>(Sumb.ke sekolah)</t>
  </si>
  <si>
    <t>Terima simpanan kls 10</t>
  </si>
  <si>
    <t>Terima simpanan kls 11</t>
  </si>
  <si>
    <t>Terima simpanan kls 12</t>
  </si>
  <si>
    <t>Terima niaga tunai</t>
  </si>
  <si>
    <t>Transport niaga</t>
  </si>
  <si>
    <t>Transport pengurus</t>
  </si>
  <si>
    <t>KAS JANUARI 2025</t>
  </si>
  <si>
    <t>Dikeluarkan simp.kls 11</t>
  </si>
  <si>
    <t>Dikeluarkan simp.kls 12</t>
  </si>
  <si>
    <t>Terima simp.kls 10</t>
  </si>
  <si>
    <t>Terima simp.kls 12</t>
  </si>
  <si>
    <t>Terima simp.kls 11</t>
  </si>
  <si>
    <t>Transport belanja niaga</t>
  </si>
  <si>
    <t>KAS FEBRUARI 2025</t>
  </si>
  <si>
    <t>KAS MARET 2025</t>
  </si>
  <si>
    <t>KAS APRIL 2025</t>
  </si>
  <si>
    <t>Terima simp.kopsis 10</t>
  </si>
  <si>
    <t>Terima simp.kopsis 11</t>
  </si>
  <si>
    <t>Terima simp.kopsis 12</t>
  </si>
  <si>
    <t>Transpor belanja niaga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</si>
</sst>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Rp&quot;#,##0;[Red]\-&quot;Rp&quot;#,##0"/>
    <numFmt numFmtId="8" formatCode="&quot;Rp&quot;#,##0.00;[Red]\-&quot;Rp&quot;#,##0.0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164" formatCode="&quot;Rp&quot;#,##0.00_);\(&quot;Rp&quot;#,##0.00\)"/>
    <numFmt numFmtId="165" formatCode="&quot;Rp&quot;#,##0.00"/>
    <numFmt numFmtId="166" formatCode="&quot;Rp&quot;#,##0"/>
    <numFmt numFmtId="167" formatCode="&quot;Rp&quot;#,##0.0"/>
    <numFmt numFmtId="168" formatCode="&quot;Rp&quot;#,##0.000_);\(&quot;Rp&quot;#,##0.000\)"/>
    <numFmt numFmtId="169" formatCode="&quot;Rp&quot;#,##0.0_);\(&quot;Rp&quot;#,##0.0\)"/>
    <numFmt numFmtId="170" formatCode="_-[$Rp-3809]* #,##0.00_-;\-[$Rp-3809]* #,##0.00_-;_-[$Rp-3809]* &quot;-&quot;??_-;_-@_-"/>
  </numFmts>
  <fonts count="12" x14ac:knownFonts="1">
    <font>
      <sz val="11"/>
      <color theme="1"/>
      <name val="Calibri"/>
      <family val="2"/>
      <charset val="1"/>
      <scheme val="minor"/>
    </font>
    <font>
      <b/>
      <sz val="20"/>
      <color theme="1"/>
      <name val="Papyrus"/>
      <family val="4"/>
    </font>
    <font>
      <b/>
      <sz val="11"/>
      <color theme="1"/>
      <name val="Papyrus"/>
      <family val="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8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9" fillId="0" borderId="0" applyFont="0" applyFill="0" applyBorder="0" applyAlignment="0" applyProtection="0"/>
  </cellStyleXfs>
  <cellXfs count="104">
    <xf numFmtId="0" fontId="0" fillId="0" borderId="0" xfId="0"/>
    <xf numFmtId="0" fontId="3" fillId="0" borderId="9" xfId="0" applyFont="1" applyBorder="1" applyAlignment="1">
      <alignment horizontal="center"/>
    </xf>
    <xf numFmtId="165" fontId="3" fillId="0" borderId="9" xfId="0" applyNumberFormat="1" applyFont="1" applyBorder="1"/>
    <xf numFmtId="0" fontId="3" fillId="0" borderId="12" xfId="0" applyFont="1" applyBorder="1" applyAlignment="1">
      <alignment horizontal="center"/>
    </xf>
    <xf numFmtId="166" fontId="3" fillId="0" borderId="9" xfId="0" applyNumberFormat="1" applyFont="1" applyBorder="1"/>
    <xf numFmtId="164" fontId="3" fillId="0" borderId="12" xfId="0" applyNumberFormat="1" applyFont="1" applyBorder="1"/>
    <xf numFmtId="164" fontId="4" fillId="0" borderId="12" xfId="0" applyNumberFormat="1" applyFont="1" applyBorder="1"/>
    <xf numFmtId="164" fontId="3" fillId="0" borderId="0" xfId="0" applyNumberFormat="1" applyFont="1"/>
    <xf numFmtId="164" fontId="5" fillId="0" borderId="12" xfId="0" applyNumberFormat="1" applyFont="1" applyBorder="1"/>
    <xf numFmtId="164" fontId="6" fillId="0" borderId="12" xfId="0" applyNumberFormat="1" applyFont="1" applyBorder="1"/>
    <xf numFmtId="164" fontId="7" fillId="0" borderId="12" xfId="0" applyNumberFormat="1" applyFont="1" applyBorder="1"/>
    <xf numFmtId="0" fontId="0" fillId="0" borderId="12" xfId="0" applyBorder="1"/>
    <xf numFmtId="0" fontId="3" fillId="0" borderId="10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164" fontId="5" fillId="0" borderId="24" xfId="0" applyNumberFormat="1" applyFont="1" applyBorder="1"/>
    <xf numFmtId="164" fontId="5" fillId="0" borderId="25" xfId="0" applyNumberFormat="1" applyFont="1" applyBorder="1"/>
    <xf numFmtId="0" fontId="3" fillId="0" borderId="26" xfId="0" applyFont="1" applyBorder="1"/>
    <xf numFmtId="0" fontId="3" fillId="0" borderId="27" xfId="0" applyFont="1" applyBorder="1"/>
    <xf numFmtId="164" fontId="5" fillId="0" borderId="26" xfId="0" applyNumberFormat="1" applyFont="1" applyBorder="1"/>
    <xf numFmtId="164" fontId="5" fillId="0" borderId="27" xfId="0" applyNumberFormat="1" applyFont="1" applyBorder="1"/>
    <xf numFmtId="164" fontId="5" fillId="0" borderId="10" xfId="0" applyNumberFormat="1" applyFont="1" applyBorder="1"/>
    <xf numFmtId="164" fontId="5" fillId="0" borderId="23" xfId="0" applyNumberFormat="1" applyFont="1" applyBorder="1"/>
    <xf numFmtId="166" fontId="3" fillId="0" borderId="12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0" fontId="0" fillId="0" borderId="14" xfId="0" applyBorder="1"/>
    <xf numFmtId="0" fontId="0" fillId="0" borderId="15" xfId="0" applyBorder="1"/>
    <xf numFmtId="165" fontId="0" fillId="0" borderId="12" xfId="0" applyNumberFormat="1" applyBorder="1"/>
    <xf numFmtId="164" fontId="3" fillId="0" borderId="15" xfId="0" applyNumberFormat="1" applyFont="1" applyBorder="1"/>
    <xf numFmtId="164" fontId="4" fillId="0" borderId="0" xfId="0" applyNumberFormat="1" applyFont="1"/>
    <xf numFmtId="164" fontId="8" fillId="0" borderId="12" xfId="0" applyNumberFormat="1" applyFont="1" applyBorder="1"/>
    <xf numFmtId="0" fontId="3" fillId="0" borderId="14" xfId="0" applyFont="1" applyBorder="1" applyAlignment="1">
      <alignment horizontal="center"/>
    </xf>
    <xf numFmtId="164" fontId="3" fillId="2" borderId="12" xfId="0" applyNumberFormat="1" applyFont="1" applyFill="1" applyBorder="1"/>
    <xf numFmtId="0" fontId="3" fillId="0" borderId="0" xfId="0" applyFont="1"/>
    <xf numFmtId="3" fontId="0" fillId="0" borderId="0" xfId="0" applyNumberFormat="1"/>
    <xf numFmtId="167" fontId="3" fillId="0" borderId="9" xfId="0" applyNumberFormat="1" applyFont="1" applyBorder="1"/>
    <xf numFmtId="168" fontId="6" fillId="0" borderId="12" xfId="0" applyNumberFormat="1" applyFont="1" applyBorder="1"/>
    <xf numFmtId="167" fontId="3" fillId="0" borderId="9" xfId="1" applyNumberFormat="1" applyFont="1" applyBorder="1"/>
    <xf numFmtId="169" fontId="3" fillId="0" borderId="12" xfId="0" applyNumberFormat="1" applyFont="1" applyBorder="1"/>
    <xf numFmtId="0" fontId="3" fillId="0" borderId="12" xfId="0" applyFont="1" applyBorder="1"/>
    <xf numFmtId="6" fontId="3" fillId="0" borderId="12" xfId="0" applyNumberFormat="1" applyFont="1" applyBorder="1"/>
    <xf numFmtId="166" fontId="3" fillId="0" borderId="12" xfId="0" applyNumberFormat="1" applyFont="1" applyBorder="1"/>
    <xf numFmtId="165" fontId="3" fillId="0" borderId="12" xfId="0" applyNumberFormat="1" applyFont="1" applyBorder="1"/>
    <xf numFmtId="165" fontId="10" fillId="0" borderId="12" xfId="0" applyNumberFormat="1" applyFont="1" applyBorder="1"/>
    <xf numFmtId="164" fontId="10" fillId="0" borderId="12" xfId="0" applyNumberFormat="1" applyFont="1" applyBorder="1"/>
    <xf numFmtId="8" fontId="4" fillId="0" borderId="12" xfId="0" applyNumberFormat="1" applyFont="1" applyBorder="1"/>
    <xf numFmtId="165" fontId="11" fillId="0" borderId="12" xfId="0" applyNumberFormat="1" applyFont="1" applyBorder="1"/>
    <xf numFmtId="42" fontId="3" fillId="0" borderId="0" xfId="0" applyNumberFormat="1" applyFont="1"/>
    <xf numFmtId="44" fontId="3" fillId="0" borderId="0" xfId="0" applyNumberFormat="1" applyFont="1"/>
    <xf numFmtId="44" fontId="3" fillId="0" borderId="12" xfId="0" applyNumberFormat="1" applyFont="1" applyBorder="1"/>
    <xf numFmtId="165" fontId="3" fillId="0" borderId="0" xfId="0" applyNumberFormat="1" applyFont="1"/>
    <xf numFmtId="44" fontId="0" fillId="0" borderId="0" xfId="0" applyNumberFormat="1"/>
    <xf numFmtId="170" fontId="3" fillId="0" borderId="9" xfId="1" applyNumberFormat="1" applyFont="1" applyBorder="1"/>
    <xf numFmtId="14" fontId="3" fillId="0" borderId="12" xfId="0" applyNumberFormat="1" applyFont="1" applyBorder="1" applyAlignment="1">
      <alignment horizontal="center"/>
    </xf>
    <xf numFmtId="166" fontId="3" fillId="0" borderId="30" xfId="0" applyNumberFormat="1" applyFont="1" applyBorder="1" applyAlignment="1">
      <alignment horizontal="center"/>
    </xf>
    <xf numFmtId="166" fontId="0" fillId="0" borderId="0" xfId="0" applyNumberFormat="1"/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0" borderId="12" xfId="0" applyFont="1" applyBorder="1"/>
    <xf numFmtId="0" fontId="3" fillId="2" borderId="12" xfId="0" applyFont="1" applyFill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10" xfId="0" applyFont="1" applyBorder="1"/>
    <xf numFmtId="0" fontId="0" fillId="0" borderId="11" xfId="0" applyBorder="1"/>
    <xf numFmtId="0" fontId="1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65" fontId="2" fillId="0" borderId="29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2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14" xfId="0" applyFont="1" applyFill="1" applyBorder="1"/>
    <xf numFmtId="0" fontId="3" fillId="2" borderId="15" xfId="0" applyFont="1" applyFill="1" applyBorder="1"/>
    <xf numFmtId="0" fontId="3" fillId="0" borderId="16" xfId="0" applyFont="1" applyBorder="1"/>
    <xf numFmtId="0" fontId="3" fillId="0" borderId="17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3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33</xdr:row>
      <xdr:rowOff>9525</xdr:rowOff>
    </xdr:from>
    <xdr:to>
      <xdr:col>3</xdr:col>
      <xdr:colOff>9525</xdr:colOff>
      <xdr:row>34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76325" y="3000375"/>
          <a:ext cx="247650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17</xdr:row>
      <xdr:rowOff>28575</xdr:rowOff>
    </xdr:from>
    <xdr:to>
      <xdr:col>3</xdr:col>
      <xdr:colOff>38100</xdr:colOff>
      <xdr:row>18</xdr:row>
      <xdr:rowOff>28575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104900" y="5495925"/>
          <a:ext cx="261937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3</xdr:col>
      <xdr:colOff>28575</xdr:colOff>
      <xdr:row>8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1114425" y="1657350"/>
          <a:ext cx="23241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1086971</xdr:colOff>
      <xdr:row>13</xdr:row>
      <xdr:rowOff>179294</xdr:rowOff>
    </xdr:from>
    <xdr:to>
      <xdr:col>3</xdr:col>
      <xdr:colOff>9525</xdr:colOff>
      <xdr:row>14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1086971" y="2599765"/>
          <a:ext cx="2306730" cy="207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15</xdr:row>
      <xdr:rowOff>9525</xdr:rowOff>
    </xdr:from>
    <xdr:to>
      <xdr:col>3</xdr:col>
      <xdr:colOff>9525</xdr:colOff>
      <xdr:row>16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076325" y="4524375"/>
          <a:ext cx="232410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2</xdr:row>
      <xdr:rowOff>171450</xdr:rowOff>
    </xdr:from>
    <xdr:to>
      <xdr:col>12</xdr:col>
      <xdr:colOff>514350</xdr:colOff>
      <xdr:row>3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8648700" y="561975"/>
          <a:ext cx="180022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</xdr:row>
      <xdr:rowOff>57150</xdr:rowOff>
    </xdr:from>
    <xdr:to>
      <xdr:col>14</xdr:col>
      <xdr:colOff>381000</xdr:colOff>
      <xdr:row>8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9839325" y="1524000"/>
          <a:ext cx="220980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19</xdr:row>
      <xdr:rowOff>0</xdr:rowOff>
    </xdr:from>
    <xdr:to>
      <xdr:col>3</xdr:col>
      <xdr:colOff>0</xdr:colOff>
      <xdr:row>19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066800" y="3914775"/>
          <a:ext cx="212407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18</xdr:row>
      <xdr:rowOff>9525</xdr:rowOff>
    </xdr:from>
    <xdr:to>
      <xdr:col>3</xdr:col>
      <xdr:colOff>9525</xdr:colOff>
      <xdr:row>19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1076325" y="4524375"/>
          <a:ext cx="174307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16</xdr:row>
      <xdr:rowOff>9525</xdr:rowOff>
    </xdr:from>
    <xdr:to>
      <xdr:col>3</xdr:col>
      <xdr:colOff>9525</xdr:colOff>
      <xdr:row>17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076325" y="4524375"/>
          <a:ext cx="174307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28</xdr:row>
      <xdr:rowOff>9525</xdr:rowOff>
    </xdr:from>
    <xdr:to>
      <xdr:col>3</xdr:col>
      <xdr:colOff>9525</xdr:colOff>
      <xdr:row>29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/>
      </xdr:nvCxnSpPr>
      <xdr:spPr>
        <a:xfrm>
          <a:off x="1076325" y="4524375"/>
          <a:ext cx="174307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opLeftCell="A7" zoomScaleNormal="100" workbookViewId="0">
      <selection activeCell="D11" sqref="D11"/>
    </sheetView>
  </sheetViews>
  <sheetFormatPr defaultRowHeight="15" x14ac:dyDescent="0.25"/>
  <cols>
    <col min="1" max="1" width="16.5703125" customWidth="1"/>
    <col min="3" max="3" width="26.42578125" customWidth="1"/>
    <col min="4" max="4" width="20.85546875" customWidth="1"/>
    <col min="5" max="5" width="18.5703125" customWidth="1"/>
    <col min="6" max="6" width="18" customWidth="1"/>
  </cols>
  <sheetData>
    <row r="1" spans="1:6" x14ac:dyDescent="0.25">
      <c r="A1" s="66" t="s">
        <v>113</v>
      </c>
      <c r="B1" s="66"/>
      <c r="C1" s="66"/>
      <c r="D1" s="66"/>
      <c r="E1" s="66"/>
      <c r="F1" s="66"/>
    </row>
    <row r="2" spans="1:6" ht="15.75" thickBot="1" x14ac:dyDescent="0.3">
      <c r="A2" s="66"/>
      <c r="B2" s="66"/>
      <c r="C2" s="66"/>
      <c r="D2" s="66"/>
      <c r="E2" s="66"/>
      <c r="F2" s="66"/>
    </row>
    <row r="3" spans="1:6" ht="19.5" x14ac:dyDescent="0.5">
      <c r="A3" s="67" t="s">
        <v>0</v>
      </c>
      <c r="B3" s="69" t="s">
        <v>1</v>
      </c>
      <c r="C3" s="69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68"/>
      <c r="B4" s="74" t="s">
        <v>5</v>
      </c>
      <c r="C4" s="74"/>
      <c r="D4" s="71"/>
      <c r="E4" s="71"/>
      <c r="F4" s="73"/>
    </row>
    <row r="5" spans="1:6" x14ac:dyDescent="0.25">
      <c r="A5" s="1"/>
      <c r="B5" s="75" t="s">
        <v>41</v>
      </c>
      <c r="C5" s="76"/>
      <c r="D5" s="4">
        <v>526132632.06</v>
      </c>
      <c r="E5" s="4"/>
      <c r="F5" s="2">
        <f>D5</f>
        <v>526132632.06</v>
      </c>
    </row>
    <row r="6" spans="1:6" x14ac:dyDescent="0.25">
      <c r="A6" s="54">
        <v>45667</v>
      </c>
      <c r="B6" s="64" t="s">
        <v>28</v>
      </c>
      <c r="C6" s="64"/>
      <c r="D6" s="5"/>
      <c r="E6" s="5">
        <v>42782633</v>
      </c>
      <c r="F6" s="5">
        <f>F5-E6</f>
        <v>483349999.06</v>
      </c>
    </row>
    <row r="7" spans="1:6" x14ac:dyDescent="0.25">
      <c r="A7" s="3"/>
      <c r="B7" s="64" t="s">
        <v>42</v>
      </c>
      <c r="C7" s="64"/>
      <c r="D7" s="5">
        <v>8556526.5999999996</v>
      </c>
      <c r="E7" s="5"/>
      <c r="F7" s="5">
        <f>F6+D7</f>
        <v>491906525.66000003</v>
      </c>
    </row>
    <row r="8" spans="1:6" x14ac:dyDescent="0.25">
      <c r="A8" s="3"/>
      <c r="B8" s="64" t="s">
        <v>98</v>
      </c>
      <c r="C8" s="64"/>
      <c r="D8" s="5">
        <v>8556526.5999999996</v>
      </c>
      <c r="E8" s="5"/>
      <c r="F8" s="5">
        <f>F7+D8</f>
        <v>500463052.26000005</v>
      </c>
    </row>
    <row r="9" spans="1:6" x14ac:dyDescent="0.25">
      <c r="A9" s="3"/>
      <c r="B9" s="64" t="s">
        <v>99</v>
      </c>
      <c r="C9" s="64"/>
      <c r="D9" s="5">
        <v>4278263.3</v>
      </c>
      <c r="E9" s="5"/>
      <c r="F9" s="5">
        <f>F8+D9</f>
        <v>504741315.56000006</v>
      </c>
    </row>
    <row r="10" spans="1:6" x14ac:dyDescent="0.25">
      <c r="A10" s="3"/>
      <c r="B10" s="64" t="s">
        <v>100</v>
      </c>
      <c r="C10" s="64"/>
      <c r="D10" s="5">
        <v>10695658.25</v>
      </c>
      <c r="E10" s="5"/>
      <c r="F10" s="5">
        <f>F9+D10</f>
        <v>515436973.81000006</v>
      </c>
    </row>
    <row r="11" spans="1:6" x14ac:dyDescent="0.25">
      <c r="A11" s="3"/>
      <c r="B11" s="64" t="s">
        <v>101</v>
      </c>
      <c r="C11" s="64"/>
      <c r="D11" s="5">
        <v>2139131.65</v>
      </c>
      <c r="E11" s="5"/>
      <c r="F11" s="5">
        <f>F10+D11</f>
        <v>517576105.46000004</v>
      </c>
    </row>
    <row r="12" spans="1:6" x14ac:dyDescent="0.25">
      <c r="A12" s="3"/>
      <c r="B12" s="65" t="s">
        <v>95</v>
      </c>
      <c r="C12" s="65"/>
      <c r="D12" s="33"/>
      <c r="E12" s="5">
        <v>1000000</v>
      </c>
      <c r="F12" s="5">
        <f>F11-E12</f>
        <v>516576105.46000004</v>
      </c>
    </row>
    <row r="13" spans="1:6" x14ac:dyDescent="0.25">
      <c r="A13" s="3"/>
      <c r="B13" s="65" t="s">
        <v>102</v>
      </c>
      <c r="C13" s="65"/>
      <c r="D13" s="33"/>
      <c r="E13" s="5"/>
      <c r="F13" s="5"/>
    </row>
    <row r="14" spans="1:6" x14ac:dyDescent="0.25">
      <c r="A14" s="3"/>
      <c r="B14" s="64" t="s">
        <v>103</v>
      </c>
      <c r="C14" s="64"/>
      <c r="D14" s="5"/>
      <c r="E14" s="5">
        <v>3050000</v>
      </c>
      <c r="F14" s="5">
        <f>F12-E14</f>
        <v>513526105.46000004</v>
      </c>
    </row>
    <row r="15" spans="1:6" x14ac:dyDescent="0.25">
      <c r="A15" s="3"/>
      <c r="B15" s="65" t="s">
        <v>104</v>
      </c>
      <c r="C15" s="65"/>
      <c r="D15" s="5"/>
      <c r="E15" s="33"/>
      <c r="F15" s="5"/>
    </row>
    <row r="16" spans="1:6" x14ac:dyDescent="0.25">
      <c r="A16" s="3"/>
      <c r="B16" s="62" t="s">
        <v>105</v>
      </c>
      <c r="C16" s="63"/>
      <c r="D16" s="5"/>
      <c r="E16" s="33">
        <v>10000000</v>
      </c>
      <c r="F16" s="5">
        <f>F14-E16</f>
        <v>503526105.46000004</v>
      </c>
    </row>
    <row r="17" spans="1:16" x14ac:dyDescent="0.25">
      <c r="A17" s="3"/>
      <c r="B17" s="60" t="s">
        <v>106</v>
      </c>
      <c r="C17" s="60"/>
      <c r="D17" s="5"/>
      <c r="E17" s="5"/>
      <c r="F17" s="5"/>
    </row>
    <row r="18" spans="1:16" x14ac:dyDescent="0.25">
      <c r="A18" s="3"/>
      <c r="B18" s="61" t="s">
        <v>107</v>
      </c>
      <c r="C18" s="61"/>
      <c r="D18" s="5">
        <v>5920000</v>
      </c>
      <c r="E18" s="33"/>
      <c r="F18" s="5">
        <f>F16+D18</f>
        <v>509446105.46000004</v>
      </c>
    </row>
    <row r="19" spans="1:16" x14ac:dyDescent="0.25">
      <c r="A19" s="3"/>
      <c r="B19" s="60" t="s">
        <v>108</v>
      </c>
      <c r="C19" s="60"/>
      <c r="D19" s="5">
        <v>3370000</v>
      </c>
      <c r="E19" s="5"/>
      <c r="F19" s="5">
        <f>F18+D19</f>
        <v>512816105.46000004</v>
      </c>
    </row>
    <row r="20" spans="1:16" x14ac:dyDescent="0.25">
      <c r="A20" s="3"/>
      <c r="B20" s="57" t="s">
        <v>109</v>
      </c>
      <c r="C20" s="58"/>
      <c r="D20" s="24">
        <v>2180000</v>
      </c>
      <c r="E20" s="5"/>
      <c r="F20" s="5">
        <f>F19+D20</f>
        <v>514996105.46000004</v>
      </c>
    </row>
    <row r="21" spans="1:16" x14ac:dyDescent="0.25">
      <c r="A21" s="3"/>
      <c r="B21" s="57" t="s">
        <v>110</v>
      </c>
      <c r="C21" s="58"/>
      <c r="D21" s="24">
        <v>2500000</v>
      </c>
      <c r="E21" s="24"/>
      <c r="F21" s="5">
        <f>F20+D21</f>
        <v>517496105.46000004</v>
      </c>
    </row>
    <row r="22" spans="1:16" x14ac:dyDescent="0.25">
      <c r="A22" s="3"/>
      <c r="B22" s="57" t="s">
        <v>85</v>
      </c>
      <c r="C22" s="58"/>
      <c r="D22" s="24"/>
      <c r="E22" s="24">
        <v>16958029</v>
      </c>
      <c r="F22" s="5">
        <f>F21-E22</f>
        <v>500538076.46000004</v>
      </c>
    </row>
    <row r="23" spans="1:16" x14ac:dyDescent="0.25">
      <c r="A23" s="3"/>
      <c r="B23" s="57" t="s">
        <v>71</v>
      </c>
      <c r="C23" s="58"/>
      <c r="D23" s="24">
        <v>16958029</v>
      </c>
      <c r="E23" s="24"/>
      <c r="F23" s="5">
        <f>F22+D23</f>
        <v>517496105.46000004</v>
      </c>
    </row>
    <row r="24" spans="1:16" x14ac:dyDescent="0.25">
      <c r="A24" s="3"/>
      <c r="B24" s="57" t="s">
        <v>111</v>
      </c>
      <c r="C24" s="58"/>
      <c r="D24" s="24"/>
      <c r="E24" s="24">
        <v>250000</v>
      </c>
      <c r="F24" s="5">
        <f>F23-E24</f>
        <v>517246105.46000004</v>
      </c>
    </row>
    <row r="25" spans="1:16" x14ac:dyDescent="0.25">
      <c r="A25" s="3"/>
      <c r="B25" s="57" t="s">
        <v>74</v>
      </c>
      <c r="C25" s="58"/>
      <c r="D25" s="24"/>
      <c r="E25" s="24">
        <v>1000000</v>
      </c>
      <c r="F25" s="5">
        <f>F24-E25</f>
        <v>516246105.46000004</v>
      </c>
    </row>
    <row r="26" spans="1:16" x14ac:dyDescent="0.25">
      <c r="A26" s="3"/>
      <c r="B26" s="34" t="s">
        <v>112</v>
      </c>
      <c r="D26" s="24"/>
      <c r="E26" s="55">
        <v>500000</v>
      </c>
      <c r="F26" s="5">
        <f>F25-E26</f>
        <v>515746105.46000004</v>
      </c>
    </row>
    <row r="27" spans="1:16" x14ac:dyDescent="0.25">
      <c r="A27" s="3"/>
      <c r="B27" s="57"/>
      <c r="C27" s="58"/>
      <c r="D27" s="35"/>
      <c r="E27" s="24"/>
      <c r="F27" s="5"/>
    </row>
    <row r="28" spans="1:16" x14ac:dyDescent="0.25">
      <c r="A28" s="3"/>
      <c r="B28" s="57"/>
      <c r="C28" s="58"/>
      <c r="D28" s="24"/>
      <c r="E28" s="24"/>
      <c r="F28" s="5"/>
    </row>
    <row r="29" spans="1:16" x14ac:dyDescent="0.25">
      <c r="A29" s="3"/>
      <c r="B29" s="57"/>
      <c r="C29" s="58"/>
      <c r="D29" s="24"/>
      <c r="E29" s="24"/>
      <c r="F29" s="5"/>
      <c r="P29" s="5"/>
    </row>
    <row r="30" spans="1:16" x14ac:dyDescent="0.25">
      <c r="A30" s="3"/>
      <c r="B30" s="57"/>
      <c r="C30" s="58"/>
      <c r="D30" s="24"/>
      <c r="E30" s="24"/>
      <c r="F30" s="5"/>
    </row>
    <row r="31" spans="1:16" x14ac:dyDescent="0.25">
      <c r="A31" s="3"/>
      <c r="B31" s="57"/>
      <c r="C31" s="58"/>
      <c r="D31" s="24"/>
      <c r="E31" s="24"/>
      <c r="F31" s="5"/>
    </row>
    <row r="32" spans="1:16" x14ac:dyDescent="0.25">
      <c r="A32" s="11"/>
      <c r="B32" s="57"/>
      <c r="C32" s="58"/>
      <c r="D32" s="24"/>
      <c r="E32" s="24"/>
      <c r="F32" s="5"/>
    </row>
    <row r="33" spans="1:6" x14ac:dyDescent="0.25">
      <c r="A33" s="11"/>
      <c r="B33" s="57"/>
      <c r="C33" s="58"/>
      <c r="D33" s="24"/>
      <c r="E33" s="24"/>
      <c r="F33" s="5"/>
    </row>
    <row r="34" spans="1:6" x14ac:dyDescent="0.25">
      <c r="B34" s="59"/>
      <c r="C34" s="59"/>
      <c r="D34" s="25"/>
      <c r="E34" s="7"/>
    </row>
    <row r="35" spans="1:6" x14ac:dyDescent="0.25">
      <c r="B35" s="57" t="s">
        <v>6</v>
      </c>
      <c r="C35" s="58"/>
      <c r="D35" s="8">
        <f>SUM(D5:D29)</f>
        <v>591286767.45999992</v>
      </c>
      <c r="E35" s="8">
        <f>SUM(E5:E33)</f>
        <v>75540662</v>
      </c>
    </row>
    <row r="36" spans="1:6" x14ac:dyDescent="0.25">
      <c r="B36" s="57" t="s">
        <v>4</v>
      </c>
      <c r="C36" s="58"/>
      <c r="D36" s="5"/>
      <c r="E36" s="6">
        <f>F26</f>
        <v>515746105.46000004</v>
      </c>
    </row>
    <row r="37" spans="1:6" x14ac:dyDescent="0.25">
      <c r="B37" s="57" t="s">
        <v>7</v>
      </c>
      <c r="C37" s="58"/>
      <c r="D37" s="5"/>
      <c r="E37" s="9">
        <f>E35+E36</f>
        <v>591286767.46000004</v>
      </c>
    </row>
    <row r="40" spans="1:6" x14ac:dyDescent="0.25">
      <c r="D40" s="56"/>
    </row>
  </sheetData>
  <mergeCells count="39">
    <mergeCell ref="B10:C10"/>
    <mergeCell ref="A1:F2"/>
    <mergeCell ref="A3:A4"/>
    <mergeCell ref="B3:C3"/>
    <mergeCell ref="D3:D4"/>
    <mergeCell ref="E3:E4"/>
    <mergeCell ref="F3:F4"/>
    <mergeCell ref="B4:C4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B15:C15"/>
    <mergeCell ref="B34:C34"/>
    <mergeCell ref="B17:C17"/>
    <mergeCell ref="B18:C18"/>
    <mergeCell ref="B19:C19"/>
    <mergeCell ref="B16:C16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B31:C31"/>
    <mergeCell ref="B32:C32"/>
    <mergeCell ref="B33:C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F21" sqref="F21"/>
    </sheetView>
  </sheetViews>
  <sheetFormatPr defaultRowHeight="15" x14ac:dyDescent="0.25"/>
  <cols>
    <col min="1" max="1" width="16.7109375" bestFit="1" customWidth="1"/>
    <col min="3" max="3" width="29.42578125" customWidth="1"/>
    <col min="4" max="4" width="18.140625" customWidth="1"/>
    <col min="5" max="5" width="18.5703125" customWidth="1"/>
    <col min="6" max="6" width="18.7109375" customWidth="1"/>
  </cols>
  <sheetData>
    <row r="1" spans="1:6" x14ac:dyDescent="0.25">
      <c r="A1" s="66" t="s">
        <v>120</v>
      </c>
      <c r="B1" s="66"/>
      <c r="C1" s="66"/>
      <c r="D1" s="66"/>
      <c r="E1" s="66"/>
      <c r="F1" s="66"/>
    </row>
    <row r="2" spans="1:6" ht="15.75" thickBot="1" x14ac:dyDescent="0.3">
      <c r="A2" s="66"/>
      <c r="B2" s="66"/>
      <c r="C2" s="66"/>
      <c r="D2" s="66"/>
      <c r="E2" s="66"/>
      <c r="F2" s="66"/>
    </row>
    <row r="3" spans="1:6" ht="19.5" x14ac:dyDescent="0.5">
      <c r="A3" s="67" t="s">
        <v>0</v>
      </c>
      <c r="B3" s="69" t="s">
        <v>1</v>
      </c>
      <c r="C3" s="69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68"/>
      <c r="B4" s="74" t="s">
        <v>5</v>
      </c>
      <c r="C4" s="74"/>
      <c r="D4" s="71"/>
      <c r="E4" s="71"/>
      <c r="F4" s="73"/>
    </row>
    <row r="5" spans="1:6" x14ac:dyDescent="0.25">
      <c r="A5" s="1"/>
      <c r="B5" s="75" t="s">
        <v>11</v>
      </c>
      <c r="C5" s="76"/>
      <c r="D5" s="4">
        <v>515746105.45999998</v>
      </c>
      <c r="E5" s="4"/>
      <c r="F5" s="4">
        <f>D5</f>
        <v>515746105.45999998</v>
      </c>
    </row>
    <row r="6" spans="1:6" x14ac:dyDescent="0.25">
      <c r="A6" s="3">
        <v>14</v>
      </c>
      <c r="B6" s="64" t="s">
        <v>114</v>
      </c>
      <c r="C6" s="64"/>
      <c r="D6" s="5"/>
      <c r="E6" s="5">
        <v>135000</v>
      </c>
      <c r="F6" s="5">
        <f>F5-E6</f>
        <v>515611105.45999998</v>
      </c>
    </row>
    <row r="7" spans="1:6" x14ac:dyDescent="0.25">
      <c r="A7" s="3">
        <v>14</v>
      </c>
      <c r="B7" s="64" t="s">
        <v>115</v>
      </c>
      <c r="C7" s="64"/>
      <c r="D7" s="5"/>
      <c r="E7" s="5">
        <v>140000</v>
      </c>
      <c r="F7" s="5">
        <f>F6-E7</f>
        <v>515471105.45999998</v>
      </c>
    </row>
    <row r="8" spans="1:6" x14ac:dyDescent="0.25">
      <c r="A8" s="3">
        <v>28</v>
      </c>
      <c r="B8" s="64" t="s">
        <v>116</v>
      </c>
      <c r="C8" s="64"/>
      <c r="D8" s="5">
        <v>810000</v>
      </c>
      <c r="E8" s="5"/>
      <c r="F8" s="5">
        <f>F7+D8</f>
        <v>516281105.45999998</v>
      </c>
    </row>
    <row r="9" spans="1:6" x14ac:dyDescent="0.25">
      <c r="A9" s="3">
        <v>28</v>
      </c>
      <c r="B9" s="64" t="s">
        <v>118</v>
      </c>
      <c r="C9" s="64"/>
      <c r="D9" s="5">
        <v>13580000</v>
      </c>
      <c r="E9" s="5"/>
      <c r="F9" s="5">
        <f>F8+D9</f>
        <v>529861105.45999998</v>
      </c>
    </row>
    <row r="10" spans="1:6" x14ac:dyDescent="0.25">
      <c r="A10" s="3">
        <v>28</v>
      </c>
      <c r="B10" s="64" t="s">
        <v>117</v>
      </c>
      <c r="C10" s="64"/>
      <c r="D10" s="5">
        <v>3165000</v>
      </c>
      <c r="E10" s="5"/>
      <c r="F10" s="5">
        <f>F9+D10</f>
        <v>533026105.45999998</v>
      </c>
    </row>
    <row r="11" spans="1:6" x14ac:dyDescent="0.25">
      <c r="A11" s="3">
        <v>28</v>
      </c>
      <c r="B11" s="64" t="s">
        <v>110</v>
      </c>
      <c r="C11" s="64"/>
      <c r="D11" s="5">
        <v>8684132</v>
      </c>
      <c r="E11" s="5"/>
      <c r="F11" s="5">
        <f>F10+D11</f>
        <v>541710237.46000004</v>
      </c>
    </row>
    <row r="12" spans="1:6" x14ac:dyDescent="0.25">
      <c r="A12" s="3"/>
      <c r="B12" s="64" t="s">
        <v>85</v>
      </c>
      <c r="C12" s="64"/>
      <c r="D12" s="5"/>
      <c r="E12" s="5">
        <v>10307839</v>
      </c>
      <c r="F12" s="5">
        <f>F11-E12</f>
        <v>531402398.46000004</v>
      </c>
    </row>
    <row r="13" spans="1:6" x14ac:dyDescent="0.25">
      <c r="A13" s="3"/>
      <c r="B13" s="57" t="s">
        <v>71</v>
      </c>
      <c r="C13" s="58"/>
      <c r="D13" s="5">
        <v>10307839</v>
      </c>
      <c r="E13" s="5"/>
      <c r="F13" s="5">
        <f>F12+D13</f>
        <v>541710237.46000004</v>
      </c>
    </row>
    <row r="14" spans="1:6" x14ac:dyDescent="0.25">
      <c r="A14" s="3"/>
      <c r="B14" s="60" t="s">
        <v>119</v>
      </c>
      <c r="C14" s="60"/>
      <c r="D14" s="5"/>
      <c r="E14" s="5">
        <v>250000</v>
      </c>
      <c r="F14" s="5">
        <f>F13-E14</f>
        <v>541460237.46000004</v>
      </c>
    </row>
    <row r="15" spans="1:6" x14ac:dyDescent="0.25">
      <c r="A15" s="3"/>
      <c r="B15" s="60" t="s">
        <v>74</v>
      </c>
      <c r="C15" s="60"/>
      <c r="D15" s="5"/>
      <c r="E15" s="5">
        <v>1000000</v>
      </c>
      <c r="F15" s="5">
        <f>F14-E15</f>
        <v>540460237.46000004</v>
      </c>
    </row>
    <row r="16" spans="1:6" x14ac:dyDescent="0.25">
      <c r="A16" s="3"/>
      <c r="B16" s="60" t="s">
        <v>112</v>
      </c>
      <c r="C16" s="60"/>
      <c r="D16" s="5"/>
      <c r="E16" s="5">
        <v>500000</v>
      </c>
      <c r="F16" s="5">
        <f>F15-E16</f>
        <v>539960237.46000004</v>
      </c>
    </row>
    <row r="17" spans="1:6" x14ac:dyDescent="0.25">
      <c r="A17" s="3"/>
      <c r="B17" s="60"/>
      <c r="C17" s="60"/>
      <c r="D17" s="5"/>
      <c r="E17" s="5"/>
      <c r="F17" s="5"/>
    </row>
    <row r="18" spans="1:6" x14ac:dyDescent="0.25">
      <c r="B18" s="59"/>
      <c r="C18" s="59"/>
    </row>
    <row r="19" spans="1:6" x14ac:dyDescent="0.25">
      <c r="B19" s="60" t="s">
        <v>6</v>
      </c>
      <c r="C19" s="60"/>
      <c r="D19" s="8">
        <f>SUM(D5:D17)</f>
        <v>552293076.46000004</v>
      </c>
      <c r="E19" s="8">
        <f>SUM(E6:E17)</f>
        <v>12332839</v>
      </c>
    </row>
    <row r="20" spans="1:6" x14ac:dyDescent="0.25">
      <c r="B20" s="60" t="s">
        <v>4</v>
      </c>
      <c r="C20" s="60"/>
      <c r="D20" s="5"/>
      <c r="E20" s="6">
        <v>304316914.60000002</v>
      </c>
    </row>
    <row r="21" spans="1:6" x14ac:dyDescent="0.25">
      <c r="B21" s="60" t="s">
        <v>9</v>
      </c>
      <c r="C21" s="60"/>
      <c r="D21" s="5"/>
      <c r="E21" s="9">
        <f>E19+E20</f>
        <v>316649753.60000002</v>
      </c>
    </row>
    <row r="22" spans="1:6" x14ac:dyDescent="0.25">
      <c r="B22" s="59"/>
      <c r="C22" s="59"/>
    </row>
    <row r="23" spans="1:6" x14ac:dyDescent="0.25">
      <c r="B23" s="14"/>
      <c r="C23" s="15"/>
      <c r="D23" s="16"/>
      <c r="E23" s="17"/>
    </row>
    <row r="24" spans="1:6" x14ac:dyDescent="0.25">
      <c r="B24" s="18"/>
      <c r="C24" s="19"/>
      <c r="D24" s="20"/>
      <c r="E24" s="21"/>
    </row>
    <row r="25" spans="1:6" x14ac:dyDescent="0.25">
      <c r="B25" s="12"/>
      <c r="C25" s="13"/>
      <c r="D25" s="22"/>
      <c r="E25" s="23"/>
    </row>
  </sheetData>
  <mergeCells count="25">
    <mergeCell ref="B10:C10"/>
    <mergeCell ref="B11:C11"/>
    <mergeCell ref="B12:C12"/>
    <mergeCell ref="B9:C9"/>
    <mergeCell ref="A1:F2"/>
    <mergeCell ref="A3:A4"/>
    <mergeCell ref="B3:C3"/>
    <mergeCell ref="D3:D4"/>
    <mergeCell ref="E3:E4"/>
    <mergeCell ref="F3:F4"/>
    <mergeCell ref="B4:C4"/>
    <mergeCell ref="B5:C5"/>
    <mergeCell ref="B6:C6"/>
    <mergeCell ref="B7:C7"/>
    <mergeCell ref="B8:C8"/>
    <mergeCell ref="B22:C22"/>
    <mergeCell ref="B13:C13"/>
    <mergeCell ref="B14:C14"/>
    <mergeCell ref="B18:C18"/>
    <mergeCell ref="B19:C19"/>
    <mergeCell ref="B15:C15"/>
    <mergeCell ref="B16:C16"/>
    <mergeCell ref="B17:C17"/>
    <mergeCell ref="B21:C21"/>
    <mergeCell ref="B20:C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F8" sqref="F8"/>
    </sheetView>
  </sheetViews>
  <sheetFormatPr defaultRowHeight="15" x14ac:dyDescent="0.25"/>
  <cols>
    <col min="1" max="1" width="16.7109375" bestFit="1" customWidth="1"/>
    <col min="2" max="2" width="17.28515625" customWidth="1"/>
    <col min="3" max="3" width="17.140625" customWidth="1"/>
    <col min="4" max="4" width="19.7109375" customWidth="1"/>
    <col min="5" max="5" width="16.85546875" bestFit="1" customWidth="1"/>
    <col min="6" max="6" width="17.7109375" bestFit="1" customWidth="1"/>
  </cols>
  <sheetData>
    <row r="1" spans="1:7" ht="15" customHeight="1" x14ac:dyDescent="0.25">
      <c r="A1" s="66" t="s">
        <v>121</v>
      </c>
      <c r="B1" s="66"/>
      <c r="C1" s="66"/>
      <c r="D1" s="66"/>
      <c r="E1" s="66"/>
      <c r="F1" s="66"/>
    </row>
    <row r="2" spans="1:7" ht="15.75" customHeight="1" thickBot="1" x14ac:dyDescent="0.3">
      <c r="A2" s="77"/>
      <c r="B2" s="77"/>
      <c r="C2" s="77"/>
      <c r="D2" s="77"/>
      <c r="E2" s="77"/>
      <c r="F2" s="77"/>
    </row>
    <row r="3" spans="1:7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7" ht="19.5" x14ac:dyDescent="0.5">
      <c r="A4" s="79"/>
      <c r="B4" s="84" t="s">
        <v>5</v>
      </c>
      <c r="C4" s="85"/>
      <c r="D4" s="82"/>
      <c r="E4" s="82"/>
      <c r="F4" s="83"/>
    </row>
    <row r="5" spans="1:7" x14ac:dyDescent="0.25">
      <c r="A5" s="3"/>
      <c r="B5" s="64" t="s">
        <v>14</v>
      </c>
      <c r="C5" s="64"/>
      <c r="D5" s="43">
        <v>539960237.46000004</v>
      </c>
      <c r="E5" s="42"/>
      <c r="F5" s="43">
        <f>D5</f>
        <v>539960237.46000004</v>
      </c>
      <c r="G5" s="11"/>
    </row>
    <row r="6" spans="1:7" x14ac:dyDescent="0.25">
      <c r="A6" s="3">
        <v>8</v>
      </c>
      <c r="B6" s="64" t="s">
        <v>119</v>
      </c>
      <c r="C6" s="64"/>
      <c r="D6" s="5"/>
      <c r="E6" s="5">
        <v>250000</v>
      </c>
      <c r="F6" s="5">
        <f>F5-E6</f>
        <v>539710237.46000004</v>
      </c>
      <c r="G6" s="11"/>
    </row>
    <row r="7" spans="1:7" ht="18.75" customHeight="1" x14ac:dyDescent="0.25">
      <c r="A7" s="3">
        <v>29</v>
      </c>
      <c r="B7" s="40" t="s">
        <v>12</v>
      </c>
      <c r="C7" s="11"/>
      <c r="D7" s="11"/>
      <c r="E7" s="41">
        <v>1000000</v>
      </c>
      <c r="F7" s="43">
        <f>F6-E7</f>
        <v>538710237.46000004</v>
      </c>
      <c r="G7" s="11"/>
    </row>
    <row r="8" spans="1:7" x14ac:dyDescent="0.25">
      <c r="A8" s="3">
        <v>31</v>
      </c>
      <c r="B8" s="40" t="s">
        <v>112</v>
      </c>
      <c r="C8" s="11"/>
      <c r="D8" s="41"/>
      <c r="E8" s="11">
        <v>500000</v>
      </c>
      <c r="F8" s="43">
        <f>F7-E8</f>
        <v>538210237.46000004</v>
      </c>
      <c r="G8" s="11"/>
    </row>
    <row r="9" spans="1:7" x14ac:dyDescent="0.25">
      <c r="A9" s="3">
        <v>31</v>
      </c>
      <c r="B9" s="40"/>
      <c r="C9" s="11"/>
      <c r="D9" s="8"/>
      <c r="E9" s="42"/>
      <c r="F9" s="43"/>
      <c r="G9" s="11"/>
    </row>
    <row r="10" spans="1:7" x14ac:dyDescent="0.25">
      <c r="A10" s="11"/>
      <c r="B10" s="40"/>
      <c r="C10" s="11"/>
      <c r="D10" s="41"/>
      <c r="E10" s="31"/>
      <c r="F10" s="43"/>
      <c r="G10" s="11"/>
    </row>
    <row r="11" spans="1:7" x14ac:dyDescent="0.25">
      <c r="A11" s="11"/>
      <c r="B11" s="40"/>
      <c r="C11" s="11"/>
      <c r="D11" s="41"/>
      <c r="E11" s="28"/>
      <c r="F11" s="43"/>
      <c r="G11" s="11"/>
    </row>
    <row r="12" spans="1:7" x14ac:dyDescent="0.25">
      <c r="A12" s="11"/>
      <c r="B12" s="40"/>
      <c r="C12" s="11"/>
      <c r="D12" s="11"/>
      <c r="E12" s="41"/>
      <c r="F12" s="43"/>
      <c r="G12" s="11"/>
    </row>
    <row r="13" spans="1:7" x14ac:dyDescent="0.25">
      <c r="A13" s="11"/>
      <c r="B13" s="40"/>
      <c r="C13" s="11"/>
      <c r="D13" s="11"/>
      <c r="E13" s="41"/>
      <c r="F13" s="43"/>
      <c r="G13" s="11"/>
    </row>
    <row r="14" spans="1:7" x14ac:dyDescent="0.25">
      <c r="A14" s="11"/>
      <c r="B14" s="40"/>
      <c r="C14" s="11"/>
      <c r="D14" s="11"/>
      <c r="E14" s="41"/>
      <c r="F14" s="43"/>
      <c r="G14" s="11"/>
    </row>
    <row r="15" spans="1:7" x14ac:dyDescent="0.25">
      <c r="A15" s="11"/>
      <c r="B15" s="11"/>
      <c r="C15" s="11"/>
      <c r="D15" s="11"/>
      <c r="E15" s="11"/>
      <c r="F15" s="11"/>
      <c r="G15" s="11"/>
    </row>
    <row r="16" spans="1:7" x14ac:dyDescent="0.25">
      <c r="A16" s="11"/>
      <c r="B16" s="11"/>
      <c r="C16" s="11"/>
      <c r="D16" s="11"/>
      <c r="E16" s="11"/>
      <c r="F16" s="11"/>
      <c r="G16" s="11"/>
    </row>
    <row r="17" spans="1:7" x14ac:dyDescent="0.25">
      <c r="A17" s="11"/>
      <c r="B17" s="11"/>
      <c r="C17" s="11"/>
      <c r="D17" s="11"/>
      <c r="E17" s="11"/>
      <c r="F17" s="11"/>
      <c r="G17" s="11"/>
    </row>
    <row r="18" spans="1:7" x14ac:dyDescent="0.25">
      <c r="A18" s="11"/>
      <c r="B18" s="11"/>
      <c r="C18" s="11"/>
      <c r="D18" s="11"/>
      <c r="E18" s="11"/>
      <c r="F18" s="11"/>
      <c r="G18" s="40"/>
    </row>
    <row r="19" spans="1:7" x14ac:dyDescent="0.25">
      <c r="A19" s="11"/>
      <c r="B19" s="11"/>
      <c r="C19" s="11"/>
      <c r="D19" s="11"/>
      <c r="E19" s="11"/>
      <c r="F19" s="11"/>
      <c r="G19" s="11"/>
    </row>
    <row r="20" spans="1:7" x14ac:dyDescent="0.25">
      <c r="A20" s="11"/>
      <c r="B20" s="11"/>
      <c r="C20" s="11"/>
      <c r="D20" s="11"/>
      <c r="E20" s="11"/>
      <c r="F20" s="11"/>
      <c r="G20" s="11"/>
    </row>
    <row r="21" spans="1:7" x14ac:dyDescent="0.25">
      <c r="A21" s="11"/>
      <c r="B21" s="40" t="s">
        <v>6</v>
      </c>
      <c r="C21" s="11"/>
      <c r="D21" s="44">
        <f>SUM(D5:D17)</f>
        <v>539960237.46000004</v>
      </c>
      <c r="E21" s="45">
        <f>SUM(E6:E17)</f>
        <v>1750000</v>
      </c>
      <c r="F21" s="11"/>
      <c r="G21" s="11"/>
    </row>
    <row r="22" spans="1:7" x14ac:dyDescent="0.25">
      <c r="A22" s="11"/>
      <c r="B22" s="40" t="s">
        <v>4</v>
      </c>
      <c r="C22" s="11"/>
      <c r="D22" s="11"/>
      <c r="E22" s="46">
        <v>344586914.60000002</v>
      </c>
      <c r="F22" s="11"/>
      <c r="G22" s="11"/>
    </row>
    <row r="23" spans="1:7" x14ac:dyDescent="0.25">
      <c r="A23" s="11"/>
      <c r="B23" s="40" t="s">
        <v>7</v>
      </c>
      <c r="C23" s="11"/>
      <c r="D23" s="11"/>
      <c r="E23" s="47">
        <f>E21+E22</f>
        <v>346336914.60000002</v>
      </c>
      <c r="F23" s="11"/>
      <c r="G23" s="11"/>
    </row>
  </sheetData>
  <mergeCells count="9">
    <mergeCell ref="B5:C5"/>
    <mergeCell ref="B6:C6"/>
    <mergeCell ref="A1:F2"/>
    <mergeCell ref="A3:A4"/>
    <mergeCell ref="B3:C3"/>
    <mergeCell ref="D3:D4"/>
    <mergeCell ref="E3:E4"/>
    <mergeCell ref="F3:F4"/>
    <mergeCell ref="B4:C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85" zoomScaleNormal="85" workbookViewId="0">
      <selection activeCell="F14" sqref="F14"/>
    </sheetView>
  </sheetViews>
  <sheetFormatPr defaultRowHeight="15" x14ac:dyDescent="0.25"/>
  <cols>
    <col min="1" max="1" width="16.7109375" bestFit="1" customWidth="1"/>
    <col min="2" max="2" width="16.140625" customWidth="1"/>
    <col min="3" max="3" width="18" customWidth="1"/>
    <col min="4" max="4" width="17.85546875" bestFit="1" customWidth="1"/>
    <col min="5" max="5" width="19.140625" customWidth="1"/>
    <col min="6" max="6" width="18" customWidth="1"/>
  </cols>
  <sheetData>
    <row r="1" spans="1:6" ht="15" customHeight="1" x14ac:dyDescent="0.25">
      <c r="A1" s="66" t="s">
        <v>122</v>
      </c>
      <c r="B1" s="66"/>
      <c r="C1" s="66"/>
      <c r="D1" s="66"/>
      <c r="E1" s="66"/>
      <c r="F1" s="66"/>
    </row>
    <row r="2" spans="1:6" ht="15.75" customHeight="1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86" t="s">
        <v>15</v>
      </c>
      <c r="C5" s="87"/>
      <c r="D5" s="36">
        <v>538210237.46000004</v>
      </c>
      <c r="E5" s="4"/>
      <c r="F5" s="2">
        <f>D5</f>
        <v>538210237.46000004</v>
      </c>
    </row>
    <row r="6" spans="1:6" x14ac:dyDescent="0.25">
      <c r="A6" s="1"/>
      <c r="B6" s="57" t="s">
        <v>123</v>
      </c>
      <c r="C6" s="58"/>
      <c r="D6" s="5">
        <v>1215000</v>
      </c>
      <c r="E6" s="5"/>
      <c r="F6" s="5">
        <f>F5+D6</f>
        <v>539425237.46000004</v>
      </c>
    </row>
    <row r="7" spans="1:6" x14ac:dyDescent="0.25">
      <c r="A7" s="1"/>
      <c r="B7" s="57" t="s">
        <v>124</v>
      </c>
      <c r="C7" s="58"/>
      <c r="D7" s="5">
        <v>480000</v>
      </c>
      <c r="E7" s="5"/>
      <c r="F7" s="5">
        <f>F6+D7</f>
        <v>539905237.46000004</v>
      </c>
    </row>
    <row r="8" spans="1:6" x14ac:dyDescent="0.25">
      <c r="A8" s="3"/>
      <c r="B8" s="57" t="s">
        <v>125</v>
      </c>
      <c r="C8" s="58"/>
      <c r="D8" s="5">
        <v>1140000</v>
      </c>
      <c r="E8" s="5"/>
      <c r="F8" s="5">
        <f>F7+D8</f>
        <v>541045237.46000004</v>
      </c>
    </row>
    <row r="9" spans="1:6" x14ac:dyDescent="0.25">
      <c r="A9" s="3"/>
      <c r="B9" s="57" t="s">
        <v>85</v>
      </c>
      <c r="C9" s="58"/>
      <c r="D9" s="5"/>
      <c r="E9" s="5">
        <v>11167411</v>
      </c>
      <c r="F9" s="5">
        <f>F8-E9</f>
        <v>529877826.46000004</v>
      </c>
    </row>
    <row r="10" spans="1:6" x14ac:dyDescent="0.25">
      <c r="A10" s="3"/>
      <c r="B10" s="57" t="s">
        <v>71</v>
      </c>
      <c r="C10" s="58"/>
      <c r="D10" s="5">
        <v>11167411</v>
      </c>
      <c r="E10" s="5"/>
      <c r="F10" s="5">
        <f>F9+D10</f>
        <v>541045237.46000004</v>
      </c>
    </row>
    <row r="11" spans="1:6" x14ac:dyDescent="0.25">
      <c r="A11" s="3"/>
      <c r="B11" s="57" t="s">
        <v>126</v>
      </c>
      <c r="C11" s="58"/>
      <c r="D11" s="5"/>
      <c r="E11" s="5">
        <v>250000</v>
      </c>
      <c r="F11" s="5">
        <f>F10-E11</f>
        <v>540795237.46000004</v>
      </c>
    </row>
    <row r="12" spans="1:6" x14ac:dyDescent="0.25">
      <c r="A12" s="3"/>
      <c r="B12" s="57" t="s">
        <v>74</v>
      </c>
      <c r="C12" s="58"/>
      <c r="D12" s="5"/>
      <c r="E12" s="5">
        <v>1000000</v>
      </c>
      <c r="F12" s="5">
        <f>F11-E12</f>
        <v>539795237.46000004</v>
      </c>
    </row>
    <row r="13" spans="1:6" x14ac:dyDescent="0.25">
      <c r="A13" s="3"/>
      <c r="B13" s="57" t="s">
        <v>76</v>
      </c>
      <c r="C13" s="58"/>
      <c r="D13" s="5"/>
      <c r="E13" s="5">
        <v>500000</v>
      </c>
      <c r="F13" s="5">
        <f>F12-E13</f>
        <v>539295237.46000004</v>
      </c>
    </row>
    <row r="14" spans="1:6" x14ac:dyDescent="0.25">
      <c r="B14" s="91"/>
      <c r="C14" s="91"/>
      <c r="D14" s="7"/>
      <c r="E14" s="7"/>
      <c r="F14" s="7"/>
    </row>
    <row r="15" spans="1:6" x14ac:dyDescent="0.25">
      <c r="B15" s="57" t="s">
        <v>6</v>
      </c>
      <c r="C15" s="58"/>
      <c r="D15" s="8">
        <f>SUM(D5:D13)</f>
        <v>552212648.46000004</v>
      </c>
      <c r="E15" s="8">
        <f>SUM(E6:E13)</f>
        <v>12917411</v>
      </c>
      <c r="F15" s="7"/>
    </row>
    <row r="16" spans="1:6" x14ac:dyDescent="0.25">
      <c r="B16" s="57" t="s">
        <v>4</v>
      </c>
      <c r="C16" s="58"/>
      <c r="D16" s="5"/>
      <c r="E16" s="6">
        <v>338126914.60000002</v>
      </c>
      <c r="F16" s="7"/>
    </row>
    <row r="17" spans="2:7" x14ac:dyDescent="0.25">
      <c r="B17" s="57" t="s">
        <v>7</v>
      </c>
      <c r="C17" s="58"/>
      <c r="D17" s="5"/>
      <c r="E17" s="9">
        <f>E15+E16</f>
        <v>351044325.60000002</v>
      </c>
      <c r="F17" s="7"/>
    </row>
    <row r="19" spans="2:7" x14ac:dyDescent="0.25">
      <c r="G19" t="s">
        <v>8</v>
      </c>
    </row>
  </sheetData>
  <mergeCells count="20">
    <mergeCell ref="B11:C11"/>
    <mergeCell ref="B14:C14"/>
    <mergeCell ref="B15:C15"/>
    <mergeCell ref="B16:C16"/>
    <mergeCell ref="B17:C17"/>
    <mergeCell ref="B13:C13"/>
    <mergeCell ref="B12:C12"/>
    <mergeCell ref="A1:F2"/>
    <mergeCell ref="A3:A4"/>
    <mergeCell ref="B3:C3"/>
    <mergeCell ref="D3:D4"/>
    <mergeCell ref="E3:E4"/>
    <mergeCell ref="F3:F4"/>
    <mergeCell ref="B4:C4"/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tabSelected="1" workbookViewId="0">
      <selection activeCell="G16" sqref="G16"/>
    </sheetView>
  </sheetViews>
  <sheetFormatPr defaultRowHeight="15" x14ac:dyDescent="0.25"/>
  <cols>
    <col min="1" max="1" width="16.7109375" bestFit="1" customWidth="1"/>
    <col min="2" max="2" width="16.140625" customWidth="1"/>
    <col min="3" max="3" width="18" customWidth="1"/>
    <col min="4" max="5" width="16.85546875" bestFit="1" customWidth="1"/>
    <col min="6" max="6" width="18" customWidth="1"/>
  </cols>
  <sheetData>
    <row r="1" spans="1:6" ht="15" customHeight="1" x14ac:dyDescent="0.25">
      <c r="A1" s="66" t="s">
        <v>46</v>
      </c>
      <c r="B1" s="66"/>
      <c r="C1" s="66"/>
      <c r="D1" s="66"/>
      <c r="E1" s="66"/>
      <c r="F1" s="66"/>
    </row>
    <row r="2" spans="1:6" ht="15.75" customHeight="1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94" t="s">
        <v>16</v>
      </c>
      <c r="C5" s="95"/>
      <c r="D5" s="36">
        <v>338126914.60000002</v>
      </c>
      <c r="E5" s="4"/>
      <c r="F5" s="2">
        <f>D5</f>
        <v>338126914.60000002</v>
      </c>
    </row>
    <row r="6" spans="1:6" x14ac:dyDescent="0.25">
      <c r="A6" s="1"/>
      <c r="B6" s="96" t="s">
        <v>47</v>
      </c>
      <c r="C6" s="97"/>
      <c r="D6" s="5"/>
      <c r="E6" s="5">
        <v>1000000</v>
      </c>
      <c r="F6" s="5">
        <f>F5-E6</f>
        <v>337126914.60000002</v>
      </c>
    </row>
    <row r="7" spans="1:6" x14ac:dyDescent="0.25">
      <c r="A7" s="1"/>
      <c r="B7" s="96" t="s">
        <v>52</v>
      </c>
      <c r="C7" s="97"/>
      <c r="D7" s="5"/>
      <c r="E7" s="5">
        <v>6500000</v>
      </c>
      <c r="F7" s="5">
        <f>F6-E7</f>
        <v>330626914.60000002</v>
      </c>
    </row>
    <row r="8" spans="1:6" x14ac:dyDescent="0.25">
      <c r="A8" s="1"/>
      <c r="B8" s="96" t="s">
        <v>53</v>
      </c>
      <c r="C8" s="97"/>
      <c r="D8" s="5"/>
      <c r="E8" s="5">
        <v>194410000</v>
      </c>
      <c r="F8" s="5">
        <f>F7-E8</f>
        <v>136216914.60000002</v>
      </c>
    </row>
    <row r="9" spans="1:6" x14ac:dyDescent="0.25">
      <c r="A9" s="3"/>
      <c r="B9" s="96" t="s">
        <v>44</v>
      </c>
      <c r="C9" s="97"/>
      <c r="D9" s="5">
        <v>3000000</v>
      </c>
      <c r="E9" s="5"/>
      <c r="F9" s="5">
        <f>F8+D9</f>
        <v>139216914.60000002</v>
      </c>
    </row>
    <row r="10" spans="1:6" x14ac:dyDescent="0.25">
      <c r="A10" s="3"/>
      <c r="B10" s="92" t="s">
        <v>29</v>
      </c>
      <c r="C10" s="93"/>
      <c r="D10" s="5"/>
      <c r="E10" s="33">
        <v>20024200</v>
      </c>
      <c r="F10" s="5">
        <f>F9-E10</f>
        <v>119192714.60000002</v>
      </c>
    </row>
    <row r="11" spans="1:6" x14ac:dyDescent="0.25">
      <c r="A11" s="3"/>
      <c r="B11" s="92" t="s">
        <v>32</v>
      </c>
      <c r="C11" s="93"/>
      <c r="D11" s="5">
        <v>20024200</v>
      </c>
      <c r="E11" s="33"/>
      <c r="F11" s="5">
        <f>F10+D11</f>
        <v>139216914.60000002</v>
      </c>
    </row>
    <row r="12" spans="1:6" x14ac:dyDescent="0.25">
      <c r="A12" s="3"/>
      <c r="B12" s="34" t="s">
        <v>48</v>
      </c>
      <c r="C12" s="34"/>
      <c r="D12" s="49">
        <v>13320000</v>
      </c>
      <c r="E12" s="49"/>
      <c r="F12" s="48">
        <f>F11+D12</f>
        <v>152536914.60000002</v>
      </c>
    </row>
    <row r="13" spans="1:6" x14ac:dyDescent="0.25">
      <c r="A13" s="3"/>
      <c r="B13" s="34" t="s">
        <v>49</v>
      </c>
      <c r="C13" s="34"/>
      <c r="D13" s="49">
        <v>405000</v>
      </c>
      <c r="E13" s="49"/>
      <c r="F13" s="48">
        <f>F12+D13</f>
        <v>152941914.60000002</v>
      </c>
    </row>
    <row r="14" spans="1:6" x14ac:dyDescent="0.25">
      <c r="A14" s="3"/>
      <c r="B14" s="34" t="s">
        <v>12</v>
      </c>
      <c r="C14" s="34"/>
      <c r="D14" s="49"/>
      <c r="E14" s="49">
        <v>850000</v>
      </c>
      <c r="F14" s="48">
        <f>F13-E14</f>
        <v>152091914.60000002</v>
      </c>
    </row>
    <row r="15" spans="1:6" x14ac:dyDescent="0.25">
      <c r="A15" s="3"/>
      <c r="B15" s="34" t="s">
        <v>50</v>
      </c>
      <c r="C15" s="34"/>
      <c r="D15" s="49"/>
      <c r="E15" s="49">
        <v>150000</v>
      </c>
      <c r="F15" s="48">
        <f>F14-E15</f>
        <v>151941914.60000002</v>
      </c>
    </row>
    <row r="16" spans="1:6" x14ac:dyDescent="0.25">
      <c r="A16" s="3"/>
      <c r="B16" s="34" t="s">
        <v>51</v>
      </c>
      <c r="C16" s="34"/>
      <c r="D16" s="49"/>
      <c r="E16" s="49">
        <v>500000</v>
      </c>
      <c r="F16" s="48">
        <f>F15-E16</f>
        <v>151441914.60000002</v>
      </c>
    </row>
    <row r="21" spans="2:5" x14ac:dyDescent="0.25">
      <c r="B21" s="57" t="s">
        <v>6</v>
      </c>
      <c r="C21" s="58"/>
      <c r="D21" s="8">
        <f>SUM(D5:D13)</f>
        <v>374876114.60000002</v>
      </c>
      <c r="E21" s="8">
        <f>SUM(E6:E16)</f>
        <v>223434200</v>
      </c>
    </row>
    <row r="22" spans="2:5" x14ac:dyDescent="0.25">
      <c r="B22" s="57" t="s">
        <v>4</v>
      </c>
      <c r="C22" s="58"/>
      <c r="D22" s="5"/>
      <c r="E22" s="6">
        <f>F16</f>
        <v>151441914.60000002</v>
      </c>
    </row>
    <row r="23" spans="2:5" x14ac:dyDescent="0.25">
      <c r="B23" s="57" t="s">
        <v>7</v>
      </c>
      <c r="C23" s="58"/>
      <c r="D23" s="5"/>
      <c r="E23" s="9">
        <f>E21+E22</f>
        <v>374876114.60000002</v>
      </c>
    </row>
  </sheetData>
  <mergeCells count="17">
    <mergeCell ref="B5:C5"/>
    <mergeCell ref="B6:C6"/>
    <mergeCell ref="B7:C7"/>
    <mergeCell ref="B8:C8"/>
    <mergeCell ref="B9:C9"/>
    <mergeCell ref="A1:F2"/>
    <mergeCell ref="A3:A4"/>
    <mergeCell ref="B3:C3"/>
    <mergeCell ref="D3:D4"/>
    <mergeCell ref="E3:E4"/>
    <mergeCell ref="F3:F4"/>
    <mergeCell ref="B4:C4"/>
    <mergeCell ref="B21:C21"/>
    <mergeCell ref="B22:C22"/>
    <mergeCell ref="B23:C23"/>
    <mergeCell ref="B10:C10"/>
    <mergeCell ref="B11:C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activeCell="A14" sqref="A14"/>
    </sheetView>
  </sheetViews>
  <sheetFormatPr defaultRowHeight="15" x14ac:dyDescent="0.25"/>
  <cols>
    <col min="1" max="1" width="16.7109375" bestFit="1" customWidth="1"/>
    <col min="3" max="3" width="23.42578125" customWidth="1"/>
    <col min="4" max="4" width="16.85546875" bestFit="1" customWidth="1"/>
    <col min="5" max="5" width="17.5703125" customWidth="1"/>
    <col min="6" max="6" width="16.85546875" bestFit="1" customWidth="1"/>
  </cols>
  <sheetData>
    <row r="1" spans="1:6" x14ac:dyDescent="0.25">
      <c r="A1" s="66" t="s">
        <v>54</v>
      </c>
      <c r="B1" s="66"/>
      <c r="C1" s="66"/>
      <c r="D1" s="66"/>
      <c r="E1" s="66"/>
      <c r="F1" s="66"/>
    </row>
    <row r="2" spans="1:6" ht="15.75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94" t="s">
        <v>17</v>
      </c>
      <c r="C5" s="95"/>
      <c r="D5" s="36">
        <v>151441914.59999999</v>
      </c>
      <c r="E5" s="4"/>
      <c r="F5" s="2">
        <f>D5</f>
        <v>151441914.59999999</v>
      </c>
    </row>
    <row r="6" spans="1:6" x14ac:dyDescent="0.25">
      <c r="A6" s="1"/>
      <c r="B6" s="96" t="s">
        <v>45</v>
      </c>
      <c r="C6" s="97"/>
      <c r="D6" s="5"/>
      <c r="E6" s="5">
        <v>5000000</v>
      </c>
      <c r="F6" s="5">
        <f>F5-E6</f>
        <v>146441914.59999999</v>
      </c>
    </row>
    <row r="7" spans="1:6" x14ac:dyDescent="0.25">
      <c r="A7" s="1"/>
      <c r="B7" s="96" t="s">
        <v>55</v>
      </c>
      <c r="C7" s="97"/>
      <c r="D7" s="5"/>
      <c r="E7" s="5">
        <v>14150000</v>
      </c>
      <c r="F7" s="5">
        <f>F6-E7</f>
        <v>132291914.59999999</v>
      </c>
    </row>
    <row r="8" spans="1:6" x14ac:dyDescent="0.25">
      <c r="A8" s="1"/>
      <c r="B8" s="96" t="s">
        <v>56</v>
      </c>
      <c r="C8" s="97"/>
      <c r="D8" s="5"/>
      <c r="E8" s="5">
        <v>12366400</v>
      </c>
      <c r="F8" s="5">
        <f>F7-E8</f>
        <v>119925514.59999999</v>
      </c>
    </row>
    <row r="9" spans="1:6" x14ac:dyDescent="0.25">
      <c r="A9" s="3"/>
      <c r="B9" s="92" t="s">
        <v>32</v>
      </c>
      <c r="C9" s="93"/>
      <c r="D9" s="33">
        <v>12366400</v>
      </c>
      <c r="E9" s="33"/>
      <c r="F9" s="5">
        <f>F8+D9</f>
        <v>132291914.59999999</v>
      </c>
    </row>
    <row r="10" spans="1:6" x14ac:dyDescent="0.25">
      <c r="A10" s="3"/>
      <c r="B10" s="96" t="s">
        <v>27</v>
      </c>
      <c r="C10" s="97"/>
      <c r="D10" s="5">
        <v>5000000</v>
      </c>
      <c r="E10" s="5"/>
      <c r="F10" s="5">
        <f>F9+D10</f>
        <v>137291914.59999999</v>
      </c>
    </row>
    <row r="11" spans="1:6" x14ac:dyDescent="0.25">
      <c r="A11" s="3"/>
      <c r="B11" s="96" t="s">
        <v>57</v>
      </c>
      <c r="C11" s="97"/>
      <c r="D11" s="5">
        <v>20645000</v>
      </c>
      <c r="E11" s="5"/>
      <c r="F11" s="5">
        <f>F10+D11</f>
        <v>157936914.59999999</v>
      </c>
    </row>
    <row r="12" spans="1:6" x14ac:dyDescent="0.25">
      <c r="A12" s="3"/>
      <c r="B12" s="96" t="s">
        <v>12</v>
      </c>
      <c r="C12" s="97"/>
      <c r="D12" s="5"/>
      <c r="E12" s="5">
        <v>850000</v>
      </c>
      <c r="F12" s="5">
        <f>F11-E12</f>
        <v>157086914.59999999</v>
      </c>
    </row>
    <row r="13" spans="1:6" x14ac:dyDescent="0.25">
      <c r="A13" s="3"/>
      <c r="B13" s="96" t="s">
        <v>58</v>
      </c>
      <c r="C13" s="97"/>
      <c r="D13" s="5"/>
      <c r="E13" s="5">
        <v>150000</v>
      </c>
      <c r="F13" s="5">
        <f>F12-E13</f>
        <v>156936914.59999999</v>
      </c>
    </row>
    <row r="14" spans="1:6" x14ac:dyDescent="0.25">
      <c r="A14" s="3"/>
      <c r="B14" s="96" t="s">
        <v>59</v>
      </c>
      <c r="C14" s="97"/>
      <c r="D14" s="5"/>
      <c r="E14" s="5">
        <v>500000</v>
      </c>
      <c r="F14" s="5">
        <f>F13-E14</f>
        <v>156436914.59999999</v>
      </c>
    </row>
    <row r="15" spans="1:6" x14ac:dyDescent="0.25">
      <c r="A15" s="3"/>
      <c r="B15" s="96"/>
      <c r="C15" s="97"/>
      <c r="D15" s="5"/>
      <c r="E15" s="5"/>
      <c r="F15" s="5"/>
    </row>
    <row r="16" spans="1:6" x14ac:dyDescent="0.25">
      <c r="B16" s="91"/>
      <c r="C16" s="91"/>
      <c r="D16" s="7"/>
      <c r="E16" s="7"/>
      <c r="F16" s="7"/>
    </row>
    <row r="17" spans="2:6" x14ac:dyDescent="0.25">
      <c r="B17" s="57" t="s">
        <v>6</v>
      </c>
      <c r="C17" s="58"/>
      <c r="D17" s="8">
        <f>SUM(D5:D11)</f>
        <v>189453314.59999999</v>
      </c>
      <c r="E17" s="8">
        <f>SUM(E5:E15)</f>
        <v>33016400</v>
      </c>
      <c r="F17" s="7"/>
    </row>
    <row r="18" spans="2:6" x14ac:dyDescent="0.25">
      <c r="B18" s="57" t="s">
        <v>4</v>
      </c>
      <c r="C18" s="58"/>
      <c r="D18" s="5"/>
      <c r="E18" s="6">
        <f>(F14)</f>
        <v>156436914.59999999</v>
      </c>
      <c r="F18" s="7"/>
    </row>
    <row r="19" spans="2:6" x14ac:dyDescent="0.25">
      <c r="B19" s="57" t="s">
        <v>7</v>
      </c>
      <c r="C19" s="58"/>
      <c r="D19" s="5"/>
      <c r="E19" s="9">
        <f>E17+E18</f>
        <v>189453314.59999999</v>
      </c>
      <c r="F19" s="7"/>
    </row>
  </sheetData>
  <mergeCells count="22">
    <mergeCell ref="B9:C9"/>
    <mergeCell ref="A1:F2"/>
    <mergeCell ref="A3:A4"/>
    <mergeCell ref="B3:C3"/>
    <mergeCell ref="D3:D4"/>
    <mergeCell ref="E3:E4"/>
    <mergeCell ref="F3:F4"/>
    <mergeCell ref="B4:C4"/>
    <mergeCell ref="B5:C5"/>
    <mergeCell ref="B6:C6"/>
    <mergeCell ref="B7:C7"/>
    <mergeCell ref="B8:C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>
      <selection activeCell="E17" sqref="E17"/>
    </sheetView>
  </sheetViews>
  <sheetFormatPr defaultRowHeight="15" x14ac:dyDescent="0.25"/>
  <cols>
    <col min="1" max="1" width="16.7109375" bestFit="1" customWidth="1"/>
    <col min="3" max="3" width="17.140625" customWidth="1"/>
    <col min="4" max="4" width="16.85546875" bestFit="1" customWidth="1"/>
    <col min="5" max="6" width="17.140625" customWidth="1"/>
  </cols>
  <sheetData>
    <row r="1" spans="1:6" x14ac:dyDescent="0.25">
      <c r="A1" s="66" t="s">
        <v>60</v>
      </c>
      <c r="B1" s="66"/>
      <c r="C1" s="66"/>
      <c r="D1" s="66"/>
      <c r="E1" s="66"/>
      <c r="F1" s="66"/>
    </row>
    <row r="2" spans="1:6" ht="15.75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94" t="s">
        <v>18</v>
      </c>
      <c r="C5" s="95"/>
      <c r="D5" s="36">
        <v>156436914.59999999</v>
      </c>
      <c r="E5" s="4"/>
      <c r="F5" s="2">
        <f>D5</f>
        <v>156436914.59999999</v>
      </c>
    </row>
    <row r="6" spans="1:6" x14ac:dyDescent="0.25">
      <c r="A6" s="3"/>
      <c r="B6" s="96" t="s">
        <v>45</v>
      </c>
      <c r="C6" s="97"/>
      <c r="D6" s="5"/>
      <c r="E6" s="5">
        <v>14872750</v>
      </c>
      <c r="F6" s="5">
        <f>F5-E6</f>
        <v>141564164.59999999</v>
      </c>
    </row>
    <row r="7" spans="1:6" x14ac:dyDescent="0.25">
      <c r="A7" s="3"/>
      <c r="B7" s="96" t="s">
        <v>61</v>
      </c>
      <c r="C7" s="97"/>
      <c r="D7" s="5"/>
      <c r="E7" s="5"/>
      <c r="F7" s="5">
        <f>F6</f>
        <v>141564164.59999999</v>
      </c>
    </row>
    <row r="8" spans="1:6" x14ac:dyDescent="0.25">
      <c r="A8" s="3"/>
      <c r="B8" s="96" t="s">
        <v>29</v>
      </c>
      <c r="C8" s="97"/>
      <c r="D8" s="5"/>
      <c r="E8" s="5">
        <v>20246100</v>
      </c>
      <c r="F8" s="5">
        <f>F7-E8</f>
        <v>121318064.59999999</v>
      </c>
    </row>
    <row r="9" spans="1:6" x14ac:dyDescent="0.25">
      <c r="A9" s="3"/>
      <c r="B9" s="96" t="s">
        <v>32</v>
      </c>
      <c r="C9" s="97"/>
      <c r="D9" s="5">
        <v>20246100</v>
      </c>
      <c r="E9" s="5"/>
      <c r="F9" s="5">
        <f>F8+D9</f>
        <v>141564164.59999999</v>
      </c>
    </row>
    <row r="10" spans="1:6" x14ac:dyDescent="0.25">
      <c r="A10" s="3"/>
      <c r="B10" s="92" t="s">
        <v>27</v>
      </c>
      <c r="C10" s="93"/>
      <c r="D10" s="33">
        <v>65000000</v>
      </c>
      <c r="E10" s="33"/>
      <c r="F10" s="5">
        <f>F9+D10</f>
        <v>206564164.59999999</v>
      </c>
    </row>
    <row r="11" spans="1:6" x14ac:dyDescent="0.25">
      <c r="A11" s="3"/>
      <c r="B11" s="96" t="s">
        <v>43</v>
      </c>
      <c r="C11" s="97"/>
      <c r="D11" s="5"/>
      <c r="E11" s="5">
        <v>850000</v>
      </c>
      <c r="F11" s="5">
        <f>F10-E11</f>
        <v>205714164.59999999</v>
      </c>
    </row>
    <row r="12" spans="1:6" x14ac:dyDescent="0.25">
      <c r="A12" s="3"/>
      <c r="B12" s="57" t="s">
        <v>58</v>
      </c>
      <c r="C12" s="58"/>
      <c r="D12" s="11"/>
      <c r="E12" s="5">
        <v>150000</v>
      </c>
      <c r="F12" s="5">
        <f>F11-E12</f>
        <v>205564164.59999999</v>
      </c>
    </row>
    <row r="13" spans="1:6" x14ac:dyDescent="0.25">
      <c r="A13" s="11"/>
      <c r="B13" s="57" t="s">
        <v>59</v>
      </c>
      <c r="C13" s="58"/>
      <c r="D13" s="11"/>
      <c r="E13" s="50">
        <v>500000</v>
      </c>
      <c r="F13" s="43">
        <f>F12-E13</f>
        <v>205064164.59999999</v>
      </c>
    </row>
    <row r="14" spans="1:6" x14ac:dyDescent="0.25">
      <c r="B14" s="76" t="s">
        <v>62</v>
      </c>
      <c r="C14" s="76"/>
      <c r="D14" s="7"/>
      <c r="E14" s="7">
        <v>982000</v>
      </c>
      <c r="F14" s="51">
        <f>F13-E14</f>
        <v>204082164.59999999</v>
      </c>
    </row>
    <row r="15" spans="1:6" x14ac:dyDescent="0.25">
      <c r="B15" s="57" t="s">
        <v>6</v>
      </c>
      <c r="C15" s="58"/>
      <c r="D15" s="8">
        <f>SUM(D5:D13)</f>
        <v>241683014.59999999</v>
      </c>
      <c r="E15" s="8">
        <f>SUM(E6:E14)</f>
        <v>37600850</v>
      </c>
    </row>
    <row r="16" spans="1:6" x14ac:dyDescent="0.25">
      <c r="B16" s="57" t="s">
        <v>4</v>
      </c>
      <c r="C16" s="58"/>
      <c r="D16" s="5"/>
      <c r="E16" s="6">
        <f>F14</f>
        <v>204082164.59999999</v>
      </c>
    </row>
    <row r="17" spans="2:5" x14ac:dyDescent="0.25">
      <c r="B17" s="57" t="s">
        <v>7</v>
      </c>
      <c r="C17" s="58"/>
      <c r="D17" s="5"/>
      <c r="E17" s="9">
        <f>E15+E16</f>
        <v>241683014.59999999</v>
      </c>
    </row>
  </sheetData>
  <mergeCells count="20">
    <mergeCell ref="B9:C9"/>
    <mergeCell ref="B10:C10"/>
    <mergeCell ref="B11:C11"/>
    <mergeCell ref="B8:C8"/>
    <mergeCell ref="A1:F2"/>
    <mergeCell ref="A3:A4"/>
    <mergeCell ref="B3:C3"/>
    <mergeCell ref="D3:D4"/>
    <mergeCell ref="E3:E4"/>
    <mergeCell ref="F3:F4"/>
    <mergeCell ref="B4:C4"/>
    <mergeCell ref="B5:C5"/>
    <mergeCell ref="B6:C6"/>
    <mergeCell ref="B7:C7"/>
    <mergeCell ref="B14:C14"/>
    <mergeCell ref="B15:C15"/>
    <mergeCell ref="B16:C16"/>
    <mergeCell ref="B17:C17"/>
    <mergeCell ref="B12:C12"/>
    <mergeCell ref="B13:C13"/>
  </mergeCells>
  <pageMargins left="0.7" right="0.7" top="0.75" bottom="0.75" header="0.3" footer="0.3"/>
  <pageSetup orientation="portrait" horizontalDpi="90" verticalDpi="9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>
      <selection activeCell="C13" sqref="C13"/>
    </sheetView>
  </sheetViews>
  <sheetFormatPr defaultRowHeight="15" x14ac:dyDescent="0.25"/>
  <cols>
    <col min="1" max="1" width="16.7109375" bestFit="1" customWidth="1"/>
    <col min="3" max="3" width="23.28515625" customWidth="1"/>
    <col min="4" max="4" width="16.85546875" bestFit="1" customWidth="1"/>
    <col min="5" max="5" width="18" customWidth="1"/>
    <col min="6" max="6" width="17.85546875" customWidth="1"/>
  </cols>
  <sheetData>
    <row r="1" spans="1:6" x14ac:dyDescent="0.25">
      <c r="A1" s="66" t="s">
        <v>63</v>
      </c>
      <c r="B1" s="66"/>
      <c r="C1" s="66"/>
      <c r="D1" s="66"/>
      <c r="E1" s="66"/>
      <c r="F1" s="66"/>
    </row>
    <row r="2" spans="1:6" ht="15.75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94" t="s">
        <v>19</v>
      </c>
      <c r="C5" s="95"/>
      <c r="D5" s="36">
        <v>204082164.59999999</v>
      </c>
      <c r="E5" s="4"/>
      <c r="F5" s="2">
        <f>D5</f>
        <v>204082164.59999999</v>
      </c>
    </row>
    <row r="6" spans="1:6" x14ac:dyDescent="0.25">
      <c r="A6" s="1">
        <v>16</v>
      </c>
      <c r="B6" s="96" t="s">
        <v>45</v>
      </c>
      <c r="C6" s="97"/>
      <c r="D6" s="5"/>
      <c r="E6" s="5">
        <v>600000</v>
      </c>
      <c r="F6" s="5">
        <f>F5-E6</f>
        <v>203482164.59999999</v>
      </c>
    </row>
    <row r="7" spans="1:6" x14ac:dyDescent="0.25">
      <c r="A7" s="1">
        <v>31</v>
      </c>
      <c r="B7" s="96" t="s">
        <v>64</v>
      </c>
      <c r="C7" s="97"/>
      <c r="D7" s="5"/>
      <c r="E7" s="5">
        <v>213500</v>
      </c>
      <c r="F7" s="5">
        <f>F6-E7</f>
        <v>203268664.59999999</v>
      </c>
    </row>
    <row r="8" spans="1:6" x14ac:dyDescent="0.25">
      <c r="A8" s="1"/>
      <c r="B8" s="96" t="s">
        <v>65</v>
      </c>
      <c r="C8" s="97"/>
      <c r="D8" s="5"/>
      <c r="E8" s="5"/>
      <c r="F8" s="5">
        <f>F7</f>
        <v>203268664.59999999</v>
      </c>
    </row>
    <row r="9" spans="1:6" x14ac:dyDescent="0.25">
      <c r="A9" s="1"/>
      <c r="B9" s="96" t="s">
        <v>66</v>
      </c>
      <c r="C9" s="97"/>
      <c r="D9" s="5">
        <v>12000000</v>
      </c>
      <c r="E9" s="5"/>
      <c r="F9" s="5">
        <f>F8+D9</f>
        <v>215268664.59999999</v>
      </c>
    </row>
    <row r="10" spans="1:6" x14ac:dyDescent="0.25">
      <c r="A10" s="1"/>
      <c r="B10" s="96" t="s">
        <v>29</v>
      </c>
      <c r="C10" s="97"/>
      <c r="D10" s="5"/>
      <c r="E10" s="5">
        <v>41093900</v>
      </c>
      <c r="F10" s="5">
        <f>F9-E10</f>
        <v>174174764.59999999</v>
      </c>
    </row>
    <row r="11" spans="1:6" x14ac:dyDescent="0.25">
      <c r="B11" s="98" t="s">
        <v>32</v>
      </c>
      <c r="C11" s="98"/>
      <c r="D11" s="7">
        <v>41093900</v>
      </c>
      <c r="E11" s="7"/>
      <c r="F11" s="7">
        <f>F10+D11</f>
        <v>215268664.59999999</v>
      </c>
    </row>
    <row r="12" spans="1:6" x14ac:dyDescent="0.25">
      <c r="B12" s="34" t="s">
        <v>43</v>
      </c>
      <c r="C12" s="34"/>
      <c r="D12" s="52"/>
      <c r="E12" s="49">
        <v>850000</v>
      </c>
      <c r="F12" s="49">
        <f>F11-E12</f>
        <v>214418664.59999999</v>
      </c>
    </row>
    <row r="13" spans="1:6" x14ac:dyDescent="0.25">
      <c r="B13" s="34" t="s">
        <v>50</v>
      </c>
      <c r="C13" s="34"/>
      <c r="D13" s="52"/>
      <c r="E13" s="49">
        <v>150000</v>
      </c>
      <c r="F13" s="49">
        <f>F12-E13</f>
        <v>214268664.59999999</v>
      </c>
    </row>
    <row r="14" spans="1:6" x14ac:dyDescent="0.25">
      <c r="B14" s="34" t="s">
        <v>13</v>
      </c>
      <c r="C14" s="34"/>
      <c r="D14" s="52"/>
      <c r="E14" s="49">
        <v>500000</v>
      </c>
      <c r="F14" s="49">
        <f>F13-E14</f>
        <v>213768664.59999999</v>
      </c>
    </row>
    <row r="19" spans="2:5" x14ac:dyDescent="0.25">
      <c r="B19" s="57" t="s">
        <v>6</v>
      </c>
      <c r="C19" s="58"/>
      <c r="D19" s="8">
        <f>SUM(D5:D14)</f>
        <v>257176064.59999999</v>
      </c>
      <c r="E19" s="8">
        <f>SUM(E6:E14)</f>
        <v>43407400</v>
      </c>
    </row>
    <row r="20" spans="2:5" x14ac:dyDescent="0.25">
      <c r="B20" s="57" t="s">
        <v>4</v>
      </c>
      <c r="C20" s="58"/>
      <c r="D20" s="5"/>
      <c r="E20" s="6">
        <f>F14</f>
        <v>213768664.59999999</v>
      </c>
    </row>
    <row r="21" spans="2:5" x14ac:dyDescent="0.25">
      <c r="B21" s="57" t="s">
        <v>7</v>
      </c>
      <c r="C21" s="58"/>
      <c r="D21" s="5"/>
      <c r="E21" s="37">
        <f>E19+E20</f>
        <v>257176064.59999999</v>
      </c>
    </row>
  </sheetData>
  <mergeCells count="17">
    <mergeCell ref="B5:C5"/>
    <mergeCell ref="B6:C6"/>
    <mergeCell ref="B7:C7"/>
    <mergeCell ref="B8:C8"/>
    <mergeCell ref="B9:C9"/>
    <mergeCell ref="A1:F2"/>
    <mergeCell ref="A3:A4"/>
    <mergeCell ref="B3:C3"/>
    <mergeCell ref="D3:D4"/>
    <mergeCell ref="E3:E4"/>
    <mergeCell ref="F3:F4"/>
    <mergeCell ref="B4:C4"/>
    <mergeCell ref="B11:C11"/>
    <mergeCell ref="B19:C19"/>
    <mergeCell ref="B20:C20"/>
    <mergeCell ref="B21:C21"/>
    <mergeCell ref="B10:C10"/>
  </mergeCells>
  <pageMargins left="0.7" right="0.7" top="0.75" bottom="0.75" header="0.3" footer="0.3"/>
  <pageSetup orientation="portrait" horizontalDpi="90" verticalDpi="9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topLeftCell="A7" workbookViewId="0">
      <selection activeCell="K10" sqref="K10"/>
    </sheetView>
  </sheetViews>
  <sheetFormatPr defaultRowHeight="15" x14ac:dyDescent="0.25"/>
  <cols>
    <col min="1" max="1" width="16.7109375" bestFit="1" customWidth="1"/>
    <col min="2" max="2" width="11" customWidth="1"/>
    <col min="3" max="3" width="25.85546875" customWidth="1"/>
    <col min="4" max="4" width="18.28515625" customWidth="1"/>
    <col min="5" max="5" width="17.5703125" customWidth="1"/>
    <col min="6" max="6" width="16.85546875" bestFit="1" customWidth="1"/>
  </cols>
  <sheetData>
    <row r="1" spans="1:6" x14ac:dyDescent="0.25">
      <c r="A1" s="66" t="s">
        <v>30</v>
      </c>
      <c r="B1" s="66"/>
      <c r="C1" s="66"/>
      <c r="D1" s="66"/>
      <c r="E1" s="66"/>
      <c r="F1" s="66"/>
    </row>
    <row r="2" spans="1:6" ht="15.75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94" t="s">
        <v>20</v>
      </c>
      <c r="C5" s="95"/>
      <c r="D5" s="36">
        <v>213768664.59999999</v>
      </c>
      <c r="E5" s="4"/>
      <c r="F5" s="2">
        <f>D5</f>
        <v>213768664.59999999</v>
      </c>
    </row>
    <row r="6" spans="1:6" x14ac:dyDescent="0.25">
      <c r="A6" s="3">
        <v>9</v>
      </c>
      <c r="B6" s="96" t="s">
        <v>67</v>
      </c>
      <c r="C6" s="97"/>
      <c r="D6" s="5">
        <v>12000000</v>
      </c>
      <c r="E6" s="5"/>
      <c r="F6" s="5">
        <f>F5+D6</f>
        <v>225768664.59999999</v>
      </c>
    </row>
    <row r="7" spans="1:6" x14ac:dyDescent="0.25">
      <c r="A7" s="3">
        <v>12</v>
      </c>
      <c r="B7" s="96" t="s">
        <v>68</v>
      </c>
      <c r="C7" s="97"/>
      <c r="D7" s="5"/>
      <c r="E7" s="5">
        <v>500000</v>
      </c>
      <c r="F7" s="5">
        <f>F6-E7</f>
        <v>225268664.59999999</v>
      </c>
    </row>
    <row r="8" spans="1:6" x14ac:dyDescent="0.25">
      <c r="A8" s="3">
        <v>13</v>
      </c>
      <c r="B8" s="96" t="s">
        <v>69</v>
      </c>
      <c r="C8" s="97"/>
      <c r="D8" s="5"/>
      <c r="E8" s="5">
        <v>105000</v>
      </c>
      <c r="F8" s="5">
        <f>F7-E8</f>
        <v>225163664.59999999</v>
      </c>
    </row>
    <row r="9" spans="1:6" x14ac:dyDescent="0.25">
      <c r="A9" s="3">
        <v>16</v>
      </c>
      <c r="B9" s="96" t="s">
        <v>67</v>
      </c>
      <c r="C9" s="97"/>
      <c r="D9" s="5">
        <v>17700000</v>
      </c>
      <c r="E9" s="5"/>
      <c r="F9" s="5">
        <f>F8+D9</f>
        <v>242863664.59999999</v>
      </c>
    </row>
    <row r="10" spans="1:6" x14ac:dyDescent="0.25">
      <c r="A10" s="3">
        <v>16</v>
      </c>
      <c r="B10" s="57" t="s">
        <v>70</v>
      </c>
      <c r="C10" s="58"/>
      <c r="D10" s="5"/>
      <c r="E10" s="5">
        <v>135000</v>
      </c>
      <c r="F10" s="5">
        <f>F9-E10</f>
        <v>242728664.59999999</v>
      </c>
    </row>
    <row r="11" spans="1:6" x14ac:dyDescent="0.25">
      <c r="A11" s="3">
        <v>30</v>
      </c>
      <c r="B11" s="57" t="s">
        <v>45</v>
      </c>
      <c r="C11" s="58"/>
      <c r="D11" s="5"/>
      <c r="E11" s="5">
        <v>367500</v>
      </c>
      <c r="F11" s="5">
        <f>F10-E11</f>
        <v>242361164.59999999</v>
      </c>
    </row>
    <row r="12" spans="1:6" x14ac:dyDescent="0.25">
      <c r="A12" s="3">
        <v>30</v>
      </c>
      <c r="B12" s="57" t="s">
        <v>29</v>
      </c>
      <c r="C12" s="58"/>
      <c r="D12" s="5"/>
      <c r="E12" s="5">
        <v>31229950</v>
      </c>
      <c r="F12" s="5">
        <f>F11-E12</f>
        <v>211131214.59999999</v>
      </c>
    </row>
    <row r="13" spans="1:6" x14ac:dyDescent="0.25">
      <c r="A13" s="3">
        <v>30</v>
      </c>
      <c r="B13" s="57" t="s">
        <v>71</v>
      </c>
      <c r="C13" s="58"/>
      <c r="D13" s="5">
        <v>31229950</v>
      </c>
      <c r="E13" s="5"/>
      <c r="F13" s="5">
        <f>F12+D13</f>
        <v>242361164.59999999</v>
      </c>
    </row>
    <row r="14" spans="1:6" x14ac:dyDescent="0.25">
      <c r="A14" s="3">
        <v>30</v>
      </c>
      <c r="B14" s="57" t="s">
        <v>72</v>
      </c>
      <c r="C14" s="58"/>
      <c r="D14" s="5">
        <v>14500000</v>
      </c>
      <c r="E14" s="5"/>
      <c r="F14" s="5">
        <f>F13+D14</f>
        <v>256861164.59999999</v>
      </c>
    </row>
    <row r="15" spans="1:6" x14ac:dyDescent="0.25">
      <c r="A15" s="3">
        <v>30</v>
      </c>
      <c r="B15" s="57" t="s">
        <v>67</v>
      </c>
      <c r="C15" s="58"/>
      <c r="D15" s="5">
        <v>9750000</v>
      </c>
      <c r="E15" s="5"/>
      <c r="F15" s="5">
        <f>F14+D15</f>
        <v>266611164.59999999</v>
      </c>
    </row>
    <row r="16" spans="1:6" x14ac:dyDescent="0.25">
      <c r="A16" s="3">
        <v>30</v>
      </c>
      <c r="B16" s="57" t="s">
        <v>73</v>
      </c>
      <c r="C16" s="58"/>
      <c r="D16" s="5">
        <v>4600000</v>
      </c>
      <c r="E16" s="5"/>
      <c r="F16" s="5">
        <f>F15+D16</f>
        <v>271211164.60000002</v>
      </c>
    </row>
    <row r="17" spans="1:6" x14ac:dyDescent="0.25">
      <c r="A17" s="3">
        <v>30</v>
      </c>
      <c r="B17" s="57" t="s">
        <v>74</v>
      </c>
      <c r="C17" s="58"/>
      <c r="D17" s="5"/>
      <c r="E17" s="5">
        <v>850000</v>
      </c>
      <c r="F17" s="5">
        <f>F16-E17</f>
        <v>270361164.60000002</v>
      </c>
    </row>
    <row r="18" spans="1:6" x14ac:dyDescent="0.25">
      <c r="A18" s="3">
        <v>30</v>
      </c>
      <c r="B18" s="57" t="s">
        <v>75</v>
      </c>
      <c r="C18" s="58"/>
      <c r="D18" s="5"/>
      <c r="E18" s="5">
        <v>150000</v>
      </c>
      <c r="F18" s="5">
        <f>F17-E18</f>
        <v>270211164.60000002</v>
      </c>
    </row>
    <row r="19" spans="1:6" x14ac:dyDescent="0.25">
      <c r="A19" s="3">
        <v>30</v>
      </c>
      <c r="B19" s="96" t="s">
        <v>77</v>
      </c>
      <c r="C19" s="97"/>
      <c r="D19" s="5"/>
      <c r="E19" s="5">
        <v>500000</v>
      </c>
      <c r="F19" s="5">
        <f>F18-E19</f>
        <v>269711164.60000002</v>
      </c>
    </row>
    <row r="20" spans="1:6" x14ac:dyDescent="0.25">
      <c r="B20" s="99"/>
      <c r="C20" s="99"/>
      <c r="D20" s="7"/>
      <c r="E20" s="30"/>
      <c r="F20" s="7"/>
    </row>
    <row r="21" spans="1:6" x14ac:dyDescent="0.25">
      <c r="B21" s="60" t="s">
        <v>6</v>
      </c>
      <c r="C21" s="60"/>
      <c r="D21" s="8">
        <f>SUM(D5:D19)</f>
        <v>303548614.60000002</v>
      </c>
      <c r="E21" s="8">
        <f>SUM(E5:E19)</f>
        <v>33837450</v>
      </c>
      <c r="F21" s="7"/>
    </row>
    <row r="22" spans="1:6" x14ac:dyDescent="0.25">
      <c r="B22" s="26" t="s">
        <v>4</v>
      </c>
      <c r="C22" s="27"/>
      <c r="D22" s="11"/>
      <c r="E22" s="31">
        <f>F19</f>
        <v>269711164.60000002</v>
      </c>
    </row>
    <row r="23" spans="1:6" x14ac:dyDescent="0.25">
      <c r="B23" s="57" t="s">
        <v>7</v>
      </c>
      <c r="C23" s="58"/>
      <c r="D23" s="11"/>
      <c r="E23" s="28">
        <f>E21+E22</f>
        <v>303548614.60000002</v>
      </c>
    </row>
    <row r="25" spans="1:6" x14ac:dyDescent="0.25">
      <c r="F25" s="5"/>
    </row>
  </sheetData>
  <mergeCells count="25">
    <mergeCell ref="B10:C10"/>
    <mergeCell ref="B11:C11"/>
    <mergeCell ref="B12:C12"/>
    <mergeCell ref="B20:C20"/>
    <mergeCell ref="B21:C21"/>
    <mergeCell ref="B14:C14"/>
    <mergeCell ref="B15:C15"/>
    <mergeCell ref="B16:C16"/>
    <mergeCell ref="B17:C17"/>
    <mergeCell ref="B23:C23"/>
    <mergeCell ref="B19:C19"/>
    <mergeCell ref="A1:F2"/>
    <mergeCell ref="A3:A4"/>
    <mergeCell ref="B3:C3"/>
    <mergeCell ref="D3:D4"/>
    <mergeCell ref="E3:E4"/>
    <mergeCell ref="F3:F4"/>
    <mergeCell ref="B4:C4"/>
    <mergeCell ref="B5:C5"/>
    <mergeCell ref="B6:C6"/>
    <mergeCell ref="B7:C7"/>
    <mergeCell ref="B8:C8"/>
    <mergeCell ref="B9:C9"/>
    <mergeCell ref="B18:C18"/>
    <mergeCell ref="B13:C1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topLeftCell="A7" workbookViewId="0">
      <selection activeCell="E21" sqref="E21"/>
    </sheetView>
  </sheetViews>
  <sheetFormatPr defaultRowHeight="15" x14ac:dyDescent="0.25"/>
  <cols>
    <col min="1" max="1" width="16.7109375" bestFit="1" customWidth="1"/>
    <col min="3" max="3" width="22.140625" customWidth="1"/>
    <col min="4" max="4" width="17.7109375" customWidth="1"/>
    <col min="5" max="5" width="17.5703125" customWidth="1"/>
    <col min="6" max="6" width="17.7109375" bestFit="1" customWidth="1"/>
  </cols>
  <sheetData>
    <row r="1" spans="1:6" x14ac:dyDescent="0.25">
      <c r="A1" s="66" t="s">
        <v>78</v>
      </c>
      <c r="B1" s="66"/>
      <c r="C1" s="66"/>
      <c r="D1" s="66"/>
      <c r="E1" s="66"/>
      <c r="F1" s="66"/>
    </row>
    <row r="2" spans="1:6" ht="15.75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94" t="s">
        <v>21</v>
      </c>
      <c r="C5" s="95"/>
      <c r="D5" s="53">
        <v>269711164.60000002</v>
      </c>
      <c r="E5" s="4"/>
      <c r="F5" s="53">
        <f>D5</f>
        <v>269711164.60000002</v>
      </c>
    </row>
    <row r="6" spans="1:6" x14ac:dyDescent="0.25">
      <c r="A6" s="3">
        <v>3</v>
      </c>
      <c r="B6" s="96" t="s">
        <v>79</v>
      </c>
      <c r="C6" s="97"/>
      <c r="D6" s="5"/>
      <c r="E6" s="5">
        <v>700000</v>
      </c>
      <c r="F6" s="5">
        <f t="shared" ref="F6:F11" si="0">F5-E6</f>
        <v>269011164.60000002</v>
      </c>
    </row>
    <row r="7" spans="1:6" x14ac:dyDescent="0.25">
      <c r="A7" s="3">
        <v>6</v>
      </c>
      <c r="B7" s="96" t="s">
        <v>80</v>
      </c>
      <c r="C7" s="97"/>
      <c r="D7" s="5"/>
      <c r="E7" s="5">
        <v>550000</v>
      </c>
      <c r="F7" s="5">
        <f t="shared" si="0"/>
        <v>268461164.60000002</v>
      </c>
    </row>
    <row r="8" spans="1:6" x14ac:dyDescent="0.25">
      <c r="A8" s="3">
        <v>17</v>
      </c>
      <c r="B8" s="96" t="s">
        <v>81</v>
      </c>
      <c r="C8" s="97"/>
      <c r="D8" s="5"/>
      <c r="E8" s="5">
        <v>255000</v>
      </c>
      <c r="F8" s="5">
        <f t="shared" si="0"/>
        <v>268206164.60000002</v>
      </c>
    </row>
    <row r="9" spans="1:6" x14ac:dyDescent="0.25">
      <c r="A9" s="3">
        <v>20</v>
      </c>
      <c r="B9" s="96" t="s">
        <v>82</v>
      </c>
      <c r="C9" s="97"/>
      <c r="D9" s="5"/>
      <c r="E9" s="5">
        <v>135000</v>
      </c>
      <c r="F9" s="5">
        <f t="shared" si="0"/>
        <v>268071164.60000002</v>
      </c>
    </row>
    <row r="10" spans="1:6" x14ac:dyDescent="0.25">
      <c r="A10" s="3">
        <v>28</v>
      </c>
      <c r="B10" s="57" t="s">
        <v>83</v>
      </c>
      <c r="C10" s="58"/>
      <c r="D10" s="5"/>
      <c r="E10" s="5">
        <v>20000000</v>
      </c>
      <c r="F10" s="5">
        <f t="shared" si="0"/>
        <v>248071164.60000002</v>
      </c>
    </row>
    <row r="11" spans="1:6" x14ac:dyDescent="0.25">
      <c r="A11" s="3">
        <v>31</v>
      </c>
      <c r="B11" s="57" t="s">
        <v>29</v>
      </c>
      <c r="C11" s="58"/>
      <c r="D11" s="5"/>
      <c r="E11" s="5">
        <v>23267200</v>
      </c>
      <c r="F11" s="5">
        <f t="shared" si="0"/>
        <v>224803964.60000002</v>
      </c>
    </row>
    <row r="12" spans="1:6" x14ac:dyDescent="0.25">
      <c r="A12" s="3">
        <v>31</v>
      </c>
      <c r="B12" s="57" t="s">
        <v>71</v>
      </c>
      <c r="C12" s="58"/>
      <c r="D12" s="5">
        <v>23267200</v>
      </c>
      <c r="E12" s="5"/>
      <c r="F12" s="5">
        <f>F11+D12</f>
        <v>248071164.60000002</v>
      </c>
    </row>
    <row r="13" spans="1:6" x14ac:dyDescent="0.25">
      <c r="A13" s="3">
        <v>31</v>
      </c>
      <c r="B13" s="57" t="s">
        <v>72</v>
      </c>
      <c r="C13" s="58"/>
      <c r="D13" s="5">
        <v>7000000</v>
      </c>
      <c r="E13" s="5"/>
      <c r="F13" s="5">
        <f>F12+D13</f>
        <v>255071164.60000002</v>
      </c>
    </row>
    <row r="14" spans="1:6" x14ac:dyDescent="0.25">
      <c r="A14" s="3">
        <v>31</v>
      </c>
      <c r="B14" s="57" t="s">
        <v>67</v>
      </c>
      <c r="C14" s="58"/>
      <c r="D14" s="5">
        <v>18300000</v>
      </c>
      <c r="E14" s="5"/>
      <c r="F14" s="5">
        <f>F13+D14</f>
        <v>273371164.60000002</v>
      </c>
    </row>
    <row r="15" spans="1:6" x14ac:dyDescent="0.25">
      <c r="A15" s="3">
        <v>31</v>
      </c>
      <c r="B15" s="57" t="s">
        <v>73</v>
      </c>
      <c r="C15" s="58"/>
      <c r="D15" s="5">
        <v>27900000</v>
      </c>
      <c r="E15" s="5"/>
      <c r="F15" s="5">
        <f>F14+D15</f>
        <v>301271164.60000002</v>
      </c>
    </row>
    <row r="16" spans="1:6" x14ac:dyDescent="0.25">
      <c r="A16" s="3">
        <v>31</v>
      </c>
      <c r="B16" s="57" t="s">
        <v>74</v>
      </c>
      <c r="C16" s="58"/>
      <c r="D16" s="5"/>
      <c r="E16" s="5">
        <v>850000</v>
      </c>
      <c r="F16" s="5">
        <f>F15-E16</f>
        <v>300421164.60000002</v>
      </c>
    </row>
    <row r="17" spans="1:6" x14ac:dyDescent="0.25">
      <c r="A17" s="3">
        <v>31</v>
      </c>
      <c r="B17" s="57" t="s">
        <v>75</v>
      </c>
      <c r="C17" s="58"/>
      <c r="D17" s="5"/>
      <c r="E17" s="5">
        <v>150000</v>
      </c>
      <c r="F17" s="5">
        <f>F16-E17</f>
        <v>300271164.60000002</v>
      </c>
    </row>
    <row r="18" spans="1:6" x14ac:dyDescent="0.25">
      <c r="A18" s="3">
        <v>31</v>
      </c>
      <c r="B18" s="96" t="s">
        <v>77</v>
      </c>
      <c r="C18" s="97"/>
      <c r="D18" s="5"/>
      <c r="E18" s="5">
        <v>500000</v>
      </c>
      <c r="F18" s="5">
        <f>F17-E18</f>
        <v>299771164.60000002</v>
      </c>
    </row>
    <row r="19" spans="1:6" x14ac:dyDescent="0.25">
      <c r="B19" s="91"/>
      <c r="C19" s="91"/>
      <c r="D19" s="7"/>
      <c r="E19" s="7"/>
      <c r="F19" s="7"/>
    </row>
    <row r="20" spans="1:6" x14ac:dyDescent="0.25">
      <c r="B20" s="57" t="s">
        <v>6</v>
      </c>
      <c r="C20" s="58"/>
      <c r="D20" s="8">
        <f>SUM(D5:D18)</f>
        <v>346178364.60000002</v>
      </c>
      <c r="E20" s="8">
        <f>SUM(E5:E18)</f>
        <v>46407200</v>
      </c>
      <c r="F20" s="7"/>
    </row>
    <row r="21" spans="1:6" x14ac:dyDescent="0.25">
      <c r="B21" s="57" t="s">
        <v>4</v>
      </c>
      <c r="C21" s="58"/>
      <c r="D21" s="5"/>
      <c r="E21" s="6">
        <f>F18</f>
        <v>299771164.60000002</v>
      </c>
      <c r="F21" s="7"/>
    </row>
    <row r="22" spans="1:6" x14ac:dyDescent="0.25">
      <c r="B22" s="57" t="s">
        <v>7</v>
      </c>
      <c r="C22" s="58"/>
      <c r="D22" s="5"/>
      <c r="E22" s="9">
        <f>E20+E21</f>
        <v>346178364.60000002</v>
      </c>
      <c r="F22" s="7"/>
    </row>
  </sheetData>
  <mergeCells count="25">
    <mergeCell ref="B9:C9"/>
    <mergeCell ref="A1:F2"/>
    <mergeCell ref="A3:A4"/>
    <mergeCell ref="B3:C3"/>
    <mergeCell ref="D3:D4"/>
    <mergeCell ref="E3:E4"/>
    <mergeCell ref="F3:F4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>
      <selection activeCell="E19" sqref="E19"/>
    </sheetView>
  </sheetViews>
  <sheetFormatPr defaultRowHeight="15" x14ac:dyDescent="0.25"/>
  <cols>
    <col min="1" max="1" width="16.7109375" bestFit="1" customWidth="1"/>
    <col min="3" max="3" width="26.28515625" customWidth="1"/>
    <col min="4" max="5" width="16.85546875" bestFit="1" customWidth="1"/>
    <col min="6" max="6" width="18" bestFit="1" customWidth="1"/>
  </cols>
  <sheetData>
    <row r="1" spans="1:6" x14ac:dyDescent="0.25">
      <c r="A1" s="66" t="s">
        <v>84</v>
      </c>
      <c r="B1" s="66"/>
      <c r="C1" s="66"/>
      <c r="D1" s="66"/>
      <c r="E1" s="66"/>
      <c r="F1" s="66"/>
    </row>
    <row r="2" spans="1:6" ht="15.75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94" t="s">
        <v>22</v>
      </c>
      <c r="C5" s="95"/>
      <c r="D5" s="38">
        <v>299771164.60000002</v>
      </c>
      <c r="E5" s="4"/>
      <c r="F5" s="38">
        <f>D5</f>
        <v>299771164.60000002</v>
      </c>
    </row>
    <row r="6" spans="1:6" x14ac:dyDescent="0.25">
      <c r="A6" s="3"/>
      <c r="B6" s="96" t="s">
        <v>87</v>
      </c>
      <c r="C6" s="97"/>
      <c r="D6" s="5"/>
      <c r="E6" s="5">
        <v>854000</v>
      </c>
      <c r="F6" s="38">
        <f>F5-E6</f>
        <v>298917164.60000002</v>
      </c>
    </row>
    <row r="7" spans="1:6" x14ac:dyDescent="0.25">
      <c r="A7" s="3"/>
      <c r="B7" s="96" t="s">
        <v>33</v>
      </c>
      <c r="C7" s="97"/>
      <c r="D7" s="5"/>
      <c r="E7" s="5">
        <v>20000000</v>
      </c>
      <c r="F7" s="38">
        <f>F6-E7</f>
        <v>278917164.60000002</v>
      </c>
    </row>
    <row r="8" spans="1:6" x14ac:dyDescent="0.25">
      <c r="A8" s="3"/>
      <c r="B8" s="96" t="s">
        <v>31</v>
      </c>
      <c r="C8" s="97"/>
      <c r="D8" s="5">
        <v>42700000</v>
      </c>
      <c r="E8" s="5"/>
      <c r="F8" s="39">
        <f>F7+D8</f>
        <v>321617164.60000002</v>
      </c>
    </row>
    <row r="9" spans="1:6" x14ac:dyDescent="0.25">
      <c r="A9" s="3"/>
      <c r="B9" s="96" t="s">
        <v>34</v>
      </c>
      <c r="C9" s="97"/>
      <c r="D9" s="5">
        <v>16400000</v>
      </c>
      <c r="E9" s="5"/>
      <c r="F9" s="39">
        <f>F8+D9</f>
        <v>338017164.60000002</v>
      </c>
    </row>
    <row r="10" spans="1:6" x14ac:dyDescent="0.25">
      <c r="A10" s="3"/>
      <c r="B10" s="96" t="s">
        <v>85</v>
      </c>
      <c r="C10" s="97"/>
      <c r="D10" s="5"/>
      <c r="E10" s="5">
        <v>26744300</v>
      </c>
      <c r="F10" s="5">
        <f>F9-E10</f>
        <v>311272864.60000002</v>
      </c>
    </row>
    <row r="11" spans="1:6" x14ac:dyDescent="0.25">
      <c r="A11" s="3"/>
      <c r="B11" s="96" t="s">
        <v>71</v>
      </c>
      <c r="C11" s="97"/>
      <c r="D11" s="5">
        <v>26744300</v>
      </c>
      <c r="E11" s="5"/>
      <c r="F11" s="5">
        <f>F10+D11</f>
        <v>338017164.60000002</v>
      </c>
    </row>
    <row r="12" spans="1:6" x14ac:dyDescent="0.25">
      <c r="A12" s="3"/>
      <c r="B12" s="96" t="s">
        <v>72</v>
      </c>
      <c r="C12" s="97"/>
      <c r="D12" s="5">
        <v>9500000</v>
      </c>
      <c r="E12" s="5"/>
      <c r="F12" s="5">
        <f>F11+D12</f>
        <v>347517164.60000002</v>
      </c>
    </row>
    <row r="13" spans="1:6" x14ac:dyDescent="0.25">
      <c r="A13" s="3"/>
      <c r="B13" s="96" t="s">
        <v>86</v>
      </c>
      <c r="C13" s="97"/>
      <c r="D13" s="5"/>
      <c r="E13" s="5">
        <v>255000</v>
      </c>
      <c r="F13" s="5">
        <f>F12-E13</f>
        <v>347262164.60000002</v>
      </c>
    </row>
    <row r="14" spans="1:6" x14ac:dyDescent="0.25">
      <c r="A14" s="3"/>
      <c r="B14" s="96" t="s">
        <v>74</v>
      </c>
      <c r="C14" s="97"/>
      <c r="D14" s="5"/>
      <c r="E14" s="5">
        <v>850000</v>
      </c>
      <c r="F14" s="5">
        <f>F13-E14</f>
        <v>346412164.60000002</v>
      </c>
    </row>
    <row r="15" spans="1:6" x14ac:dyDescent="0.25">
      <c r="A15" s="3"/>
      <c r="B15" s="96" t="s">
        <v>75</v>
      </c>
      <c r="C15" s="97"/>
      <c r="D15" s="5"/>
      <c r="E15" s="5">
        <v>150000</v>
      </c>
      <c r="F15" s="5">
        <f>F14-E15</f>
        <v>346262164.60000002</v>
      </c>
    </row>
    <row r="16" spans="1:6" x14ac:dyDescent="0.25">
      <c r="A16" s="3"/>
      <c r="B16" s="96" t="s">
        <v>76</v>
      </c>
      <c r="C16" s="97"/>
      <c r="D16" s="5"/>
      <c r="E16" s="5">
        <v>500000</v>
      </c>
      <c r="F16" s="5">
        <f>F15-E16</f>
        <v>345762164.60000002</v>
      </c>
    </row>
    <row r="17" spans="2:6" x14ac:dyDescent="0.25">
      <c r="B17" s="91"/>
      <c r="C17" s="91"/>
      <c r="D17" s="7"/>
      <c r="E17" s="7"/>
      <c r="F17" s="7"/>
    </row>
    <row r="18" spans="2:6" x14ac:dyDescent="0.25">
      <c r="B18" s="57" t="s">
        <v>6</v>
      </c>
      <c r="C18" s="58"/>
      <c r="D18" s="8">
        <f>SUM(D5:D16)</f>
        <v>395115464.60000002</v>
      </c>
      <c r="E18" s="8">
        <f>SUM(E5:E16)</f>
        <v>49353300</v>
      </c>
      <c r="F18" s="7"/>
    </row>
    <row r="19" spans="2:6" x14ac:dyDescent="0.25">
      <c r="B19" s="57" t="s">
        <v>4</v>
      </c>
      <c r="C19" s="58"/>
      <c r="D19" s="5"/>
      <c r="E19" s="6">
        <f>F16</f>
        <v>345762164.60000002</v>
      </c>
      <c r="F19" s="7"/>
    </row>
    <row r="20" spans="2:6" x14ac:dyDescent="0.25">
      <c r="B20" s="57" t="s">
        <v>7</v>
      </c>
      <c r="C20" s="58"/>
      <c r="D20" s="5"/>
      <c r="E20" s="9">
        <f>E18+E19</f>
        <v>395115464.60000002</v>
      </c>
      <c r="F20" s="7"/>
    </row>
  </sheetData>
  <mergeCells count="23">
    <mergeCell ref="B17:C17"/>
    <mergeCell ref="B18:C18"/>
    <mergeCell ref="B19:C19"/>
    <mergeCell ref="B20:C20"/>
    <mergeCell ref="B15:C15"/>
    <mergeCell ref="B16:C16"/>
    <mergeCell ref="B5:C5"/>
    <mergeCell ref="B6:C6"/>
    <mergeCell ref="B7:C7"/>
    <mergeCell ref="B8:C8"/>
    <mergeCell ref="B14:C14"/>
    <mergeCell ref="B9:C9"/>
    <mergeCell ref="B10:C10"/>
    <mergeCell ref="B11:C11"/>
    <mergeCell ref="B12:C12"/>
    <mergeCell ref="B13:C13"/>
    <mergeCell ref="A1:F2"/>
    <mergeCell ref="A3:A4"/>
    <mergeCell ref="B3:C3"/>
    <mergeCell ref="D3:D4"/>
    <mergeCell ref="E3:E4"/>
    <mergeCell ref="F3:F4"/>
    <mergeCell ref="B4:C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1"/>
  <sheetViews>
    <sheetView workbookViewId="0">
      <selection activeCell="A3" sqref="A3:A4"/>
    </sheetView>
  </sheetViews>
  <sheetFormatPr defaultRowHeight="15" x14ac:dyDescent="0.25"/>
  <cols>
    <col min="1" max="1" width="16.7109375" bestFit="1" customWidth="1"/>
    <col min="2" max="2" width="13.28515625" customWidth="1"/>
    <col min="3" max="3" width="38.7109375" customWidth="1"/>
    <col min="4" max="4" width="20" customWidth="1"/>
    <col min="5" max="5" width="17.7109375" bestFit="1" customWidth="1"/>
    <col min="6" max="6" width="16.85546875" bestFit="1" customWidth="1"/>
  </cols>
  <sheetData>
    <row r="1" spans="1:6" x14ac:dyDescent="0.25">
      <c r="A1" s="66" t="s">
        <v>97</v>
      </c>
      <c r="B1" s="66"/>
      <c r="C1" s="66"/>
      <c r="D1" s="66"/>
      <c r="E1" s="66"/>
      <c r="F1" s="66"/>
    </row>
    <row r="2" spans="1:6" ht="15.75" thickBot="1" x14ac:dyDescent="0.3">
      <c r="A2" s="77"/>
      <c r="B2" s="77"/>
      <c r="C2" s="77"/>
      <c r="D2" s="77"/>
      <c r="E2" s="77"/>
      <c r="F2" s="77"/>
    </row>
    <row r="3" spans="1:6" ht="19.5" x14ac:dyDescent="0.5">
      <c r="A3" s="78" t="s">
        <v>0</v>
      </c>
      <c r="B3" s="80" t="s">
        <v>1</v>
      </c>
      <c r="C3" s="81"/>
      <c r="D3" s="70" t="s">
        <v>2</v>
      </c>
      <c r="E3" s="70" t="s">
        <v>3</v>
      </c>
      <c r="F3" s="72" t="s">
        <v>4</v>
      </c>
    </row>
    <row r="4" spans="1:6" ht="20.25" thickBot="1" x14ac:dyDescent="0.55000000000000004">
      <c r="A4" s="88"/>
      <c r="B4" s="89" t="s">
        <v>5</v>
      </c>
      <c r="C4" s="90"/>
      <c r="D4" s="71"/>
      <c r="E4" s="71"/>
      <c r="F4" s="73"/>
    </row>
    <row r="5" spans="1:6" x14ac:dyDescent="0.25">
      <c r="A5" s="1"/>
      <c r="B5" s="94" t="s">
        <v>23</v>
      </c>
      <c r="C5" s="95"/>
      <c r="D5" s="4">
        <v>345762164.60000002</v>
      </c>
      <c r="E5" s="4"/>
      <c r="F5" s="4">
        <f>D5</f>
        <v>345762164.60000002</v>
      </c>
    </row>
    <row r="6" spans="1:6" x14ac:dyDescent="0.25">
      <c r="A6" s="3">
        <v>1</v>
      </c>
      <c r="B6" s="96" t="s">
        <v>88</v>
      </c>
      <c r="C6" s="97"/>
      <c r="D6" s="5">
        <v>71000000</v>
      </c>
      <c r="E6" s="5"/>
      <c r="F6" s="5">
        <f>F5+D6</f>
        <v>416762164.60000002</v>
      </c>
    </row>
    <row r="7" spans="1:6" x14ac:dyDescent="0.25">
      <c r="A7" s="3">
        <v>2</v>
      </c>
      <c r="B7" s="96" t="s">
        <v>89</v>
      </c>
      <c r="C7" s="97"/>
      <c r="D7" s="5">
        <v>9300000</v>
      </c>
      <c r="E7" s="5"/>
      <c r="F7" s="5">
        <f>F6+D7</f>
        <v>426062164.60000002</v>
      </c>
    </row>
    <row r="8" spans="1:6" x14ac:dyDescent="0.25">
      <c r="A8" s="3">
        <v>3</v>
      </c>
      <c r="B8" s="96" t="s">
        <v>29</v>
      </c>
      <c r="C8" s="97"/>
      <c r="D8" s="5"/>
      <c r="E8" s="5">
        <v>5353000</v>
      </c>
      <c r="F8" s="5">
        <f>F7-E8</f>
        <v>420709164.60000002</v>
      </c>
    </row>
    <row r="9" spans="1:6" x14ac:dyDescent="0.25">
      <c r="A9" s="3">
        <v>4</v>
      </c>
      <c r="B9" s="96" t="s">
        <v>32</v>
      </c>
      <c r="C9" s="97"/>
      <c r="D9" s="5">
        <v>5353000</v>
      </c>
      <c r="E9" s="5"/>
      <c r="F9" s="5">
        <f>F8+D9</f>
        <v>426062164.60000002</v>
      </c>
    </row>
    <row r="10" spans="1:6" x14ac:dyDescent="0.25">
      <c r="A10" s="3">
        <v>5</v>
      </c>
      <c r="B10" s="96" t="s">
        <v>13</v>
      </c>
      <c r="C10" s="97"/>
      <c r="D10" s="5"/>
      <c r="E10" s="5">
        <v>500000</v>
      </c>
      <c r="F10" s="5">
        <f t="shared" ref="F10:F22" si="0">F9-E10</f>
        <v>425562164.60000002</v>
      </c>
    </row>
    <row r="11" spans="1:6" x14ac:dyDescent="0.25">
      <c r="A11" s="3">
        <v>6</v>
      </c>
      <c r="B11" s="96" t="s">
        <v>12</v>
      </c>
      <c r="C11" s="97"/>
      <c r="D11" s="5"/>
      <c r="E11" s="5">
        <v>850000</v>
      </c>
      <c r="F11" s="5">
        <f t="shared" si="0"/>
        <v>424712164.60000002</v>
      </c>
    </row>
    <row r="12" spans="1:6" x14ac:dyDescent="0.25">
      <c r="A12" s="3">
        <v>7</v>
      </c>
      <c r="B12" s="57" t="s">
        <v>75</v>
      </c>
      <c r="C12" s="58"/>
      <c r="D12" s="5"/>
      <c r="E12" s="5">
        <v>150000</v>
      </c>
      <c r="F12" s="5">
        <f t="shared" si="0"/>
        <v>424562164.60000002</v>
      </c>
    </row>
    <row r="13" spans="1:6" x14ac:dyDescent="0.25">
      <c r="A13" s="3">
        <v>8</v>
      </c>
      <c r="B13" s="96" t="s">
        <v>25</v>
      </c>
      <c r="C13" s="97"/>
      <c r="D13" s="5"/>
      <c r="E13" s="5">
        <v>750000</v>
      </c>
      <c r="F13" s="5">
        <f t="shared" si="0"/>
        <v>423812164.60000002</v>
      </c>
    </row>
    <row r="14" spans="1:6" x14ac:dyDescent="0.25">
      <c r="A14" s="3">
        <v>9</v>
      </c>
      <c r="B14" s="96" t="s">
        <v>35</v>
      </c>
      <c r="C14" s="97"/>
      <c r="D14" s="5"/>
      <c r="E14" s="5">
        <v>1200000</v>
      </c>
      <c r="F14" s="5">
        <f t="shared" si="0"/>
        <v>422612164.60000002</v>
      </c>
    </row>
    <row r="15" spans="1:6" x14ac:dyDescent="0.25">
      <c r="A15" s="3">
        <v>10</v>
      </c>
      <c r="B15" s="96" t="s">
        <v>24</v>
      </c>
      <c r="C15" s="97"/>
      <c r="D15" s="5"/>
      <c r="E15" s="5">
        <v>1000000</v>
      </c>
      <c r="F15" s="5">
        <f t="shared" si="0"/>
        <v>421612164.60000002</v>
      </c>
    </row>
    <row r="16" spans="1:6" x14ac:dyDescent="0.25">
      <c r="A16" s="3">
        <v>11</v>
      </c>
      <c r="B16" s="96" t="s">
        <v>26</v>
      </c>
      <c r="C16" s="97"/>
      <c r="D16" s="5"/>
      <c r="E16" s="5">
        <v>500000</v>
      </c>
      <c r="F16" s="5">
        <f t="shared" si="0"/>
        <v>421112164.60000002</v>
      </c>
    </row>
    <row r="17" spans="1:6" x14ac:dyDescent="0.25">
      <c r="A17" s="3">
        <v>12</v>
      </c>
      <c r="B17" s="96" t="s">
        <v>36</v>
      </c>
      <c r="C17" s="97"/>
      <c r="D17" s="5"/>
      <c r="E17" s="5">
        <v>6000000</v>
      </c>
      <c r="F17" s="5">
        <f t="shared" si="0"/>
        <v>415112164.60000002</v>
      </c>
    </row>
    <row r="18" spans="1:6" x14ac:dyDescent="0.25">
      <c r="A18" s="3">
        <v>13</v>
      </c>
      <c r="B18" s="96" t="s">
        <v>37</v>
      </c>
      <c r="C18" s="97"/>
      <c r="D18" s="5"/>
      <c r="E18" s="5">
        <v>17500000</v>
      </c>
      <c r="F18" s="5">
        <f t="shared" si="0"/>
        <v>397612164.60000002</v>
      </c>
    </row>
    <row r="19" spans="1:6" x14ac:dyDescent="0.25">
      <c r="A19" s="3">
        <v>14</v>
      </c>
      <c r="B19" s="96" t="s">
        <v>38</v>
      </c>
      <c r="C19" s="97"/>
      <c r="D19" s="5"/>
      <c r="E19" s="5">
        <v>400000</v>
      </c>
      <c r="F19" s="5">
        <f t="shared" si="0"/>
        <v>397212164.60000002</v>
      </c>
    </row>
    <row r="20" spans="1:6" x14ac:dyDescent="0.25">
      <c r="A20" s="3">
        <v>15</v>
      </c>
      <c r="B20" s="96" t="s">
        <v>39</v>
      </c>
      <c r="C20" s="97"/>
      <c r="D20" s="5"/>
      <c r="E20" s="5">
        <v>119947000</v>
      </c>
      <c r="F20" s="5">
        <f t="shared" si="0"/>
        <v>277265164.60000002</v>
      </c>
    </row>
    <row r="21" spans="1:6" x14ac:dyDescent="0.25">
      <c r="A21" s="3">
        <v>16</v>
      </c>
      <c r="B21" s="96" t="s">
        <v>90</v>
      </c>
      <c r="C21" s="97"/>
      <c r="D21" s="5"/>
      <c r="E21" s="5">
        <v>1000000</v>
      </c>
      <c r="F21" s="5">
        <f t="shared" si="0"/>
        <v>276265164.60000002</v>
      </c>
    </row>
    <row r="22" spans="1:6" x14ac:dyDescent="0.25">
      <c r="A22" s="3">
        <v>17</v>
      </c>
      <c r="B22" s="96" t="s">
        <v>94</v>
      </c>
      <c r="C22" s="97"/>
      <c r="D22" s="5"/>
      <c r="E22" s="5">
        <v>3845000</v>
      </c>
      <c r="F22" s="5">
        <f t="shared" si="0"/>
        <v>272420164.60000002</v>
      </c>
    </row>
    <row r="23" spans="1:6" x14ac:dyDescent="0.25">
      <c r="A23" s="3">
        <v>18</v>
      </c>
      <c r="B23" s="96" t="s">
        <v>91</v>
      </c>
      <c r="C23" s="97"/>
      <c r="D23" s="5">
        <v>3845000</v>
      </c>
      <c r="E23" s="5"/>
      <c r="F23" s="5">
        <f>F22+D23</f>
        <v>276265164.60000002</v>
      </c>
    </row>
    <row r="24" spans="1:6" x14ac:dyDescent="0.25">
      <c r="A24" s="3">
        <v>19</v>
      </c>
      <c r="B24" s="96" t="s">
        <v>92</v>
      </c>
      <c r="C24" s="97"/>
      <c r="D24" s="5"/>
      <c r="E24" s="5">
        <v>250000</v>
      </c>
      <c r="F24" s="5">
        <f>F23-E24</f>
        <v>276015164.60000002</v>
      </c>
    </row>
    <row r="25" spans="1:6" x14ac:dyDescent="0.25">
      <c r="A25" s="32">
        <v>20</v>
      </c>
      <c r="B25" s="60" t="s">
        <v>93</v>
      </c>
      <c r="C25" s="60"/>
      <c r="D25" s="29"/>
      <c r="E25" s="5">
        <v>200000</v>
      </c>
      <c r="F25" s="10">
        <f>F24-E25</f>
        <v>275815164.60000002</v>
      </c>
    </row>
    <row r="26" spans="1:6" x14ac:dyDescent="0.25">
      <c r="A26" s="32">
        <v>21</v>
      </c>
      <c r="B26" s="64" t="s">
        <v>95</v>
      </c>
      <c r="C26" s="64"/>
      <c r="D26" s="29"/>
      <c r="E26" s="5">
        <v>500000</v>
      </c>
      <c r="F26" s="10">
        <f>F25-E26</f>
        <v>275315164.60000002</v>
      </c>
    </row>
    <row r="27" spans="1:6" x14ac:dyDescent="0.25">
      <c r="A27" s="32">
        <v>22</v>
      </c>
      <c r="B27" s="60" t="s">
        <v>96</v>
      </c>
      <c r="C27" s="60"/>
      <c r="D27" s="29"/>
      <c r="E27" s="5">
        <v>2000000</v>
      </c>
      <c r="F27" s="10">
        <f>F26-E27</f>
        <v>273315164.60000002</v>
      </c>
    </row>
    <row r="28" spans="1:6" x14ac:dyDescent="0.25">
      <c r="A28" s="32"/>
      <c r="B28" s="100"/>
      <c r="C28" s="100"/>
      <c r="D28" s="29"/>
      <c r="E28" s="5"/>
      <c r="F28" s="10"/>
    </row>
    <row r="29" spans="1:6" x14ac:dyDescent="0.25">
      <c r="B29" s="102"/>
      <c r="C29" s="103"/>
      <c r="D29" s="5"/>
      <c r="E29" s="5"/>
      <c r="F29" s="10"/>
    </row>
    <row r="30" spans="1:6" x14ac:dyDescent="0.25">
      <c r="B30" s="91"/>
      <c r="C30" s="101"/>
      <c r="D30" s="7"/>
      <c r="E30" s="7"/>
      <c r="F30" s="7"/>
    </row>
    <row r="31" spans="1:6" x14ac:dyDescent="0.25">
      <c r="B31" s="57" t="s">
        <v>10</v>
      </c>
      <c r="C31" s="58"/>
      <c r="D31" s="8">
        <f>SUM(D5:D29)</f>
        <v>435260164.60000002</v>
      </c>
      <c r="E31" s="8">
        <f>SUM(E8:E27)</f>
        <v>161945000</v>
      </c>
      <c r="F31" s="7"/>
    </row>
    <row r="32" spans="1:6" x14ac:dyDescent="0.25">
      <c r="B32" s="57" t="s">
        <v>4</v>
      </c>
      <c r="C32" s="58"/>
      <c r="D32" s="5"/>
      <c r="E32" s="6">
        <f>F27</f>
        <v>273315164.60000002</v>
      </c>
      <c r="F32" s="7"/>
    </row>
    <row r="33" spans="1:6" x14ac:dyDescent="0.25">
      <c r="B33" s="57" t="s">
        <v>7</v>
      </c>
      <c r="C33" s="58"/>
      <c r="D33" s="5"/>
      <c r="E33" s="9">
        <f>E31+E32</f>
        <v>435260164.60000002</v>
      </c>
      <c r="F33" s="7"/>
    </row>
    <row r="41" spans="1:6" x14ac:dyDescent="0.25">
      <c r="A41" t="s">
        <v>40</v>
      </c>
    </row>
  </sheetData>
  <mergeCells count="36">
    <mergeCell ref="B20:C20"/>
    <mergeCell ref="B15:C15"/>
    <mergeCell ref="B16:C16"/>
    <mergeCell ref="B17:C17"/>
    <mergeCell ref="B18:C18"/>
    <mergeCell ref="B19:C19"/>
    <mergeCell ref="B10:C10"/>
    <mergeCell ref="B11:C11"/>
    <mergeCell ref="B13:C13"/>
    <mergeCell ref="B14:C14"/>
    <mergeCell ref="B12:C12"/>
    <mergeCell ref="B21:C21"/>
    <mergeCell ref="B22:C22"/>
    <mergeCell ref="B23:C23"/>
    <mergeCell ref="B24:C24"/>
    <mergeCell ref="A1:F2"/>
    <mergeCell ref="A3:A4"/>
    <mergeCell ref="B3:C3"/>
    <mergeCell ref="D3:D4"/>
    <mergeCell ref="E3:E4"/>
    <mergeCell ref="F3:F4"/>
    <mergeCell ref="B4:C4"/>
    <mergeCell ref="B5:C5"/>
    <mergeCell ref="B6:C6"/>
    <mergeCell ref="B7:C7"/>
    <mergeCell ref="B8:C8"/>
    <mergeCell ref="B9:C9"/>
    <mergeCell ref="B25:C25"/>
    <mergeCell ref="B28:C28"/>
    <mergeCell ref="B26:C26"/>
    <mergeCell ref="B33:C33"/>
    <mergeCell ref="B32:C32"/>
    <mergeCell ref="B31:C31"/>
    <mergeCell ref="B30:C30"/>
    <mergeCell ref="B29:C29"/>
    <mergeCell ref="B27:C27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9B8A-7532-4879-A26E-3E75EED919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 </vt:lpstr>
      <vt:lpstr>Apr </vt:lpstr>
      <vt:lpstr>Mei </vt:lpstr>
      <vt:lpstr>Jun </vt:lpstr>
      <vt:lpstr>jul </vt:lpstr>
      <vt:lpstr>agus </vt:lpstr>
      <vt:lpstr>sept </vt:lpstr>
      <vt:lpstr>okt </vt:lpstr>
      <vt:lpstr>Nov </vt:lpstr>
      <vt:lpstr>Des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2022-05-19T04:07:24Z</cp:lastPrinted>
  <dcterms:created xsi:type="dcterms:W3CDTF">2014-02-14T03:47:25Z</dcterms:created>
  <dcterms:modified xsi:type="dcterms:W3CDTF">2025-06-24T03:16:27Z</dcterms:modified>
</cp:coreProperties>
</file>