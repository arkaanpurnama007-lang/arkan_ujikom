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KOPSIS 2025\"/>
    </mc:Choice>
  </mc:AlternateContent>
  <xr:revisionPtr revIDLastSave="0" documentId="13_ncr:1_{FBCD1E50-7E83-447B-8935-E5C430839404}" xr6:coauthVersionLast="46" xr6:coauthVersionMax="46" xr10:uidLastSave="{00000000-0000-0000-0000-000000000000}"/>
  <bookViews>
    <workbookView xWindow="-120" yWindow="-120" windowWidth="20730" windowHeight="11160" activeTab="4" xr2:uid="{00000000-000D-0000-FFFF-FFFF00000000}"/>
  </bookViews>
  <sheets>
    <sheet name="Data Pemasukan" sheetId="1" r:id="rId1"/>
    <sheet name="Data Pengeluaran" sheetId="2" r:id="rId2"/>
    <sheet name="Hasil Pemasukan" sheetId="3" r:id="rId3"/>
    <sheet name="Hasil Pengeluaran" sheetId="4" r:id="rId4"/>
    <sheet name="Hasil Akhir" sheetId="5" r:id="rId5"/>
    <sheet name="kotretan" sheetId="6" r:id="rId6"/>
  </sheets>
  <externalReferences>
    <externalReference r:id="rId7"/>
  </externalReferences>
  <calcPr calcId="191029"/>
</workbook>
</file>

<file path=xl/calcChain.xml><?xml version="1.0" encoding="utf-8"?>
<calcChain xmlns="http://schemas.openxmlformats.org/spreadsheetml/2006/main">
  <c r="AB10" i="5" l="1"/>
  <c r="E7" i="5"/>
  <c r="M16" i="5" l="1"/>
  <c r="AB24" i="5" l="1"/>
  <c r="AB22" i="5"/>
  <c r="AB8" i="5" l="1"/>
  <c r="AB20" i="5" l="1"/>
  <c r="AB16" i="5"/>
  <c r="AB18" i="5" l="1"/>
  <c r="AB12" i="5" l="1"/>
  <c r="AB28" i="5" l="1"/>
  <c r="AB26" i="5"/>
  <c r="AB14" i="5" l="1"/>
  <c r="C6" i="5"/>
  <c r="M12" i="5"/>
  <c r="AA5" i="5"/>
  <c r="Z5" i="5"/>
  <c r="Z7" i="5" s="1"/>
  <c r="S5" i="5"/>
  <c r="Q5" i="5"/>
  <c r="AA6" i="5"/>
  <c r="S6" i="5"/>
  <c r="Q6" i="5"/>
  <c r="L5" i="5"/>
  <c r="M26" i="5"/>
  <c r="D7" i="5"/>
  <c r="D9" i="5" s="1"/>
  <c r="E9" i="5"/>
  <c r="G7" i="5"/>
  <c r="G9" i="5" s="1"/>
  <c r="G11" i="5" s="1"/>
  <c r="J7" i="5"/>
  <c r="J9" i="5" s="1"/>
  <c r="J11" i="5" s="1"/>
  <c r="J13" i="5" s="1"/>
  <c r="J15" i="5" s="1"/>
  <c r="J17" i="5" s="1"/>
  <c r="J19" i="5" s="1"/>
  <c r="J21" i="5" s="1"/>
  <c r="J23" i="5" s="1"/>
  <c r="J25" i="5" s="1"/>
  <c r="J27" i="5" s="1"/>
  <c r="J29" i="5" s="1"/>
  <c r="M8" i="5"/>
  <c r="M10" i="5"/>
  <c r="M14" i="5"/>
  <c r="M18" i="5"/>
  <c r="M20" i="5"/>
  <c r="M22" i="5"/>
  <c r="M24" i="5"/>
  <c r="M28" i="5"/>
  <c r="K10" i="6"/>
  <c r="H11" i="6"/>
  <c r="J11" i="6" s="1"/>
  <c r="I12" i="6"/>
  <c r="I13" i="6"/>
  <c r="H14" i="6"/>
  <c r="J14" i="6" s="1"/>
  <c r="F17" i="6"/>
  <c r="H18" i="6"/>
  <c r="C5" i="4"/>
  <c r="D5" i="4"/>
  <c r="R7" i="5" s="1"/>
  <c r="R9" i="5" s="1"/>
  <c r="E5" i="4"/>
  <c r="F5" i="4"/>
  <c r="G5" i="4"/>
  <c r="H5" i="4"/>
  <c r="I5" i="4"/>
  <c r="J5" i="4"/>
  <c r="K5" i="4"/>
  <c r="L5" i="4"/>
  <c r="L7" i="4" s="1"/>
  <c r="M5" i="4"/>
  <c r="C6" i="4"/>
  <c r="C7" i="4" s="1"/>
  <c r="D6" i="4"/>
  <c r="E6" i="4"/>
  <c r="F6" i="4"/>
  <c r="G6" i="4"/>
  <c r="G7" i="4" s="1"/>
  <c r="H6" i="4"/>
  <c r="I6" i="4"/>
  <c r="J6" i="4"/>
  <c r="J7" i="4" s="1"/>
  <c r="J9" i="4" s="1"/>
  <c r="J11" i="4" s="1"/>
  <c r="J13" i="4" s="1"/>
  <c r="J15" i="4" s="1"/>
  <c r="J17" i="4" s="1"/>
  <c r="J19" i="4" s="1"/>
  <c r="J21" i="4" s="1"/>
  <c r="J23" i="4" s="1"/>
  <c r="J25" i="4" s="1"/>
  <c r="J27" i="4" s="1"/>
  <c r="J29" i="4" s="1"/>
  <c r="K6" i="4"/>
  <c r="K7" i="4" s="1"/>
  <c r="L6" i="4"/>
  <c r="M6" i="4"/>
  <c r="AA7" i="5" s="1"/>
  <c r="AA9" i="5" s="1"/>
  <c r="H7" i="4"/>
  <c r="C8" i="4"/>
  <c r="D8" i="4"/>
  <c r="E8" i="4"/>
  <c r="F8" i="4"/>
  <c r="G8" i="4"/>
  <c r="H8" i="4"/>
  <c r="I8" i="4"/>
  <c r="J8" i="4"/>
  <c r="K8" i="4"/>
  <c r="L8" i="4"/>
  <c r="M8" i="4"/>
  <c r="C10" i="4"/>
  <c r="D10" i="4"/>
  <c r="E10" i="4"/>
  <c r="F10" i="4"/>
  <c r="G10" i="4"/>
  <c r="H10" i="4"/>
  <c r="I10" i="4"/>
  <c r="J10" i="4"/>
  <c r="K10" i="4"/>
  <c r="L10" i="4"/>
  <c r="M10" i="4"/>
  <c r="C12" i="4"/>
  <c r="Q13" i="5" s="1"/>
  <c r="D12" i="4"/>
  <c r="E12" i="4"/>
  <c r="F12" i="4"/>
  <c r="G12" i="4"/>
  <c r="H12" i="4"/>
  <c r="I12" i="4"/>
  <c r="J12" i="4"/>
  <c r="K12" i="4"/>
  <c r="L12" i="4"/>
  <c r="M12" i="4"/>
  <c r="C14" i="4"/>
  <c r="D14" i="4"/>
  <c r="E14" i="4"/>
  <c r="F14" i="4"/>
  <c r="G14" i="4"/>
  <c r="H14" i="4"/>
  <c r="I14" i="4"/>
  <c r="J14" i="4"/>
  <c r="K14" i="4"/>
  <c r="L14" i="4"/>
  <c r="M14" i="4"/>
  <c r="C16" i="4"/>
  <c r="D16" i="4"/>
  <c r="E16" i="4"/>
  <c r="F16" i="4"/>
  <c r="G16" i="4"/>
  <c r="H16" i="4"/>
  <c r="I16" i="4"/>
  <c r="J16" i="4"/>
  <c r="K16" i="4"/>
  <c r="L16" i="4"/>
  <c r="M16" i="4"/>
  <c r="C18" i="4"/>
  <c r="D18" i="4"/>
  <c r="E18" i="4"/>
  <c r="F18" i="4"/>
  <c r="G18" i="4"/>
  <c r="H18" i="4"/>
  <c r="I18" i="4"/>
  <c r="J18" i="4"/>
  <c r="K18" i="4"/>
  <c r="L18" i="4"/>
  <c r="M18" i="4"/>
  <c r="C20" i="4"/>
  <c r="D20" i="4"/>
  <c r="E20" i="4"/>
  <c r="F20" i="4"/>
  <c r="G20" i="4"/>
  <c r="H20" i="4"/>
  <c r="I20" i="4"/>
  <c r="J20" i="4"/>
  <c r="K20" i="4"/>
  <c r="L20" i="4"/>
  <c r="M20" i="4"/>
  <c r="C22" i="4"/>
  <c r="D22" i="4"/>
  <c r="E22" i="4"/>
  <c r="F22" i="4"/>
  <c r="G22" i="4"/>
  <c r="H22" i="4"/>
  <c r="I22" i="4"/>
  <c r="J22" i="4"/>
  <c r="K22" i="4"/>
  <c r="L22" i="4"/>
  <c r="M22" i="4"/>
  <c r="C24" i="4"/>
  <c r="D24" i="4"/>
  <c r="E24" i="4"/>
  <c r="F24" i="4"/>
  <c r="G24" i="4"/>
  <c r="H24" i="4"/>
  <c r="I24" i="4"/>
  <c r="J24" i="4"/>
  <c r="K24" i="4"/>
  <c r="L24" i="4"/>
  <c r="M24" i="4"/>
  <c r="C26" i="4"/>
  <c r="D26" i="4"/>
  <c r="E26" i="4"/>
  <c r="F26" i="4"/>
  <c r="G26" i="4"/>
  <c r="H26" i="4"/>
  <c r="I26" i="4"/>
  <c r="J26" i="4"/>
  <c r="K26" i="4"/>
  <c r="L26" i="4"/>
  <c r="M26" i="4"/>
  <c r="C28" i="4"/>
  <c r="D28" i="4"/>
  <c r="E28" i="4"/>
  <c r="F28" i="4"/>
  <c r="G28" i="4"/>
  <c r="H28" i="4"/>
  <c r="I28" i="4"/>
  <c r="J28" i="4"/>
  <c r="K28" i="4"/>
  <c r="L28" i="4"/>
  <c r="M28" i="4"/>
  <c r="C5" i="3"/>
  <c r="D5" i="3"/>
  <c r="E5" i="3"/>
  <c r="M5" i="3" s="1"/>
  <c r="F5" i="3"/>
  <c r="G5" i="3"/>
  <c r="H5" i="3"/>
  <c r="I5" i="3"/>
  <c r="J5" i="3"/>
  <c r="K5" i="3"/>
  <c r="L5" i="3"/>
  <c r="C6" i="3"/>
  <c r="M6" i="3" s="1"/>
  <c r="N6" i="3" s="1"/>
  <c r="D6" i="3"/>
  <c r="D7" i="3" s="1"/>
  <c r="D9" i="3" s="1"/>
  <c r="E6" i="3"/>
  <c r="F6" i="3"/>
  <c r="G6" i="3"/>
  <c r="G7" i="3" s="1"/>
  <c r="G9" i="3" s="1"/>
  <c r="H6" i="3"/>
  <c r="H7" i="3" s="1"/>
  <c r="H9" i="3" s="1"/>
  <c r="I6" i="3"/>
  <c r="I7" i="5" s="1"/>
  <c r="I9" i="5" s="1"/>
  <c r="J6" i="3"/>
  <c r="K6" i="3"/>
  <c r="K7" i="3" s="1"/>
  <c r="K9" i="3" s="1"/>
  <c r="L6" i="3"/>
  <c r="E7" i="3"/>
  <c r="E9" i="3" s="1"/>
  <c r="F7" i="3"/>
  <c r="I7" i="3"/>
  <c r="I9" i="3" s="1"/>
  <c r="J7" i="3"/>
  <c r="L7" i="3"/>
  <c r="D8" i="3"/>
  <c r="E8" i="3"/>
  <c r="F8" i="3"/>
  <c r="G8" i="3"/>
  <c r="H8" i="3"/>
  <c r="I8" i="3"/>
  <c r="J8" i="3"/>
  <c r="K8" i="3"/>
  <c r="L8" i="3"/>
  <c r="L9" i="3" s="1"/>
  <c r="F9" i="3"/>
  <c r="J9" i="3"/>
  <c r="C10" i="3"/>
  <c r="D10" i="3"/>
  <c r="E10" i="3"/>
  <c r="F10" i="3"/>
  <c r="G10" i="3"/>
  <c r="H10" i="3"/>
  <c r="I10" i="3"/>
  <c r="J10" i="3"/>
  <c r="K10" i="3"/>
  <c r="L10" i="3"/>
  <c r="J11" i="3"/>
  <c r="C12" i="3"/>
  <c r="D12" i="3"/>
  <c r="E12" i="3"/>
  <c r="F12" i="3"/>
  <c r="G12" i="3"/>
  <c r="H12" i="3"/>
  <c r="I12" i="3"/>
  <c r="J12" i="3"/>
  <c r="J13" i="3" s="1"/>
  <c r="K12" i="3"/>
  <c r="L12" i="3"/>
  <c r="C14" i="3"/>
  <c r="D14" i="3"/>
  <c r="M14" i="3" s="1"/>
  <c r="N14" i="3" s="1"/>
  <c r="E14" i="3"/>
  <c r="F14" i="3"/>
  <c r="G14" i="3"/>
  <c r="H14" i="3"/>
  <c r="I14" i="3"/>
  <c r="J14" i="3"/>
  <c r="K14" i="3"/>
  <c r="L14" i="3"/>
  <c r="C16" i="3"/>
  <c r="D16" i="3"/>
  <c r="E16" i="3"/>
  <c r="F16" i="3"/>
  <c r="G16" i="3"/>
  <c r="H16" i="3"/>
  <c r="I16" i="3"/>
  <c r="J16" i="3"/>
  <c r="K16" i="3"/>
  <c r="L16" i="3"/>
  <c r="C18" i="3"/>
  <c r="D18" i="3"/>
  <c r="E18" i="3"/>
  <c r="F18" i="3"/>
  <c r="G18" i="3"/>
  <c r="H18" i="3"/>
  <c r="I18" i="3"/>
  <c r="J18" i="3"/>
  <c r="K18" i="3"/>
  <c r="L18" i="3"/>
  <c r="C20" i="3"/>
  <c r="D20" i="3"/>
  <c r="E20" i="3"/>
  <c r="F20" i="3"/>
  <c r="G20" i="3"/>
  <c r="H20" i="3"/>
  <c r="I20" i="3"/>
  <c r="J20" i="3"/>
  <c r="K20" i="3"/>
  <c r="L20" i="3"/>
  <c r="C22" i="3"/>
  <c r="D22" i="3"/>
  <c r="E22" i="3"/>
  <c r="F22" i="3"/>
  <c r="G22" i="3"/>
  <c r="H22" i="3"/>
  <c r="I22" i="3"/>
  <c r="J22" i="3"/>
  <c r="K22" i="3"/>
  <c r="L22" i="3"/>
  <c r="C24" i="3"/>
  <c r="D24" i="3"/>
  <c r="E24" i="3"/>
  <c r="F24" i="3"/>
  <c r="G24" i="3"/>
  <c r="H24" i="3"/>
  <c r="I24" i="3"/>
  <c r="J24" i="3"/>
  <c r="K24" i="3"/>
  <c r="L24" i="3"/>
  <c r="C26" i="3"/>
  <c r="D26" i="3"/>
  <c r="E26" i="3"/>
  <c r="F26" i="3"/>
  <c r="G26" i="3"/>
  <c r="H26" i="3"/>
  <c r="I26" i="3"/>
  <c r="J26" i="3"/>
  <c r="K26" i="3"/>
  <c r="L26" i="3"/>
  <c r="C28" i="3"/>
  <c r="D28" i="3"/>
  <c r="E28" i="3"/>
  <c r="F28" i="3"/>
  <c r="G28" i="3"/>
  <c r="H28" i="3"/>
  <c r="I28" i="3"/>
  <c r="J28" i="3"/>
  <c r="K28" i="3"/>
  <c r="L28" i="3"/>
  <c r="X7" i="5"/>
  <c r="X9" i="5" s="1"/>
  <c r="T7" i="5"/>
  <c r="T9" i="5" s="1"/>
  <c r="Y7" i="5"/>
  <c r="Y9" i="5" s="1"/>
  <c r="U7" i="5"/>
  <c r="U9" i="5" s="1"/>
  <c r="V7" i="5"/>
  <c r="V9" i="5" s="1"/>
  <c r="V11" i="5" s="1"/>
  <c r="W7" i="5"/>
  <c r="W9" i="5" s="1"/>
  <c r="N12" i="4"/>
  <c r="O12" i="4" s="1"/>
  <c r="M24" i="3" l="1"/>
  <c r="N24" i="3" s="1"/>
  <c r="F11" i="3"/>
  <c r="C7" i="3"/>
  <c r="C9" i="3" s="1"/>
  <c r="F7" i="4"/>
  <c r="F9" i="4" s="1"/>
  <c r="F11" i="4" s="1"/>
  <c r="F13" i="4" s="1"/>
  <c r="F15" i="4" s="1"/>
  <c r="F17" i="4" s="1"/>
  <c r="F19" i="4" s="1"/>
  <c r="F21" i="4" s="1"/>
  <c r="F23" i="4" s="1"/>
  <c r="F25" i="4" s="1"/>
  <c r="F27" i="4" s="1"/>
  <c r="F29" i="4" s="1"/>
  <c r="L11" i="3"/>
  <c r="I7" i="4"/>
  <c r="I9" i="4" s="1"/>
  <c r="I11" i="4" s="1"/>
  <c r="I13" i="4" s="1"/>
  <c r="I15" i="4" s="1"/>
  <c r="I17" i="4" s="1"/>
  <c r="I19" i="4" s="1"/>
  <c r="I21" i="4" s="1"/>
  <c r="I23" i="4" s="1"/>
  <c r="I25" i="4" s="1"/>
  <c r="I27" i="4" s="1"/>
  <c r="I29" i="4" s="1"/>
  <c r="E7" i="4"/>
  <c r="E9" i="4" s="1"/>
  <c r="E11" i="4" s="1"/>
  <c r="E13" i="4" s="1"/>
  <c r="E15" i="4" s="1"/>
  <c r="E17" i="4" s="1"/>
  <c r="E19" i="4" s="1"/>
  <c r="E21" i="4" s="1"/>
  <c r="E23" i="4" s="1"/>
  <c r="E25" i="4" s="1"/>
  <c r="E27" i="4" s="1"/>
  <c r="E29" i="4" s="1"/>
  <c r="K7" i="5"/>
  <c r="K9" i="5" s="1"/>
  <c r="K11" i="5" s="1"/>
  <c r="K13" i="5" s="1"/>
  <c r="K15" i="5" s="1"/>
  <c r="K17" i="5" s="1"/>
  <c r="K19" i="5" s="1"/>
  <c r="K21" i="5" s="1"/>
  <c r="K23" i="5" s="1"/>
  <c r="K25" i="5" s="1"/>
  <c r="K27" i="5" s="1"/>
  <c r="K29" i="5" s="1"/>
  <c r="M7" i="3"/>
  <c r="H11" i="3"/>
  <c r="H13" i="3" s="1"/>
  <c r="H15" i="3" s="1"/>
  <c r="H17" i="3" s="1"/>
  <c r="H19" i="3" s="1"/>
  <c r="H21" i="3" s="1"/>
  <c r="H23" i="3" s="1"/>
  <c r="H25" i="3" s="1"/>
  <c r="H27" i="3" s="1"/>
  <c r="H29" i="3" s="1"/>
  <c r="D11" i="3"/>
  <c r="M7" i="4"/>
  <c r="M9" i="4" s="1"/>
  <c r="M11" i="4" s="1"/>
  <c r="M13" i="4" s="1"/>
  <c r="M15" i="4" s="1"/>
  <c r="M17" i="4" s="1"/>
  <c r="M19" i="4" s="1"/>
  <c r="M21" i="4" s="1"/>
  <c r="M23" i="4" s="1"/>
  <c r="M25" i="4" s="1"/>
  <c r="M27" i="4" s="1"/>
  <c r="M29" i="4" s="1"/>
  <c r="Q15" i="5"/>
  <c r="Q17" i="5" s="1"/>
  <c r="Q19" i="5" s="1"/>
  <c r="Q21" i="5" s="1"/>
  <c r="Q23" i="5" s="1"/>
  <c r="Q25" i="5" s="1"/>
  <c r="Q27" i="5" s="1"/>
  <c r="Q29" i="5" s="1"/>
  <c r="D7" i="4"/>
  <c r="AB6" i="5"/>
  <c r="Z9" i="5"/>
  <c r="Z11" i="5" s="1"/>
  <c r="Z13" i="5" s="1"/>
  <c r="Z15" i="5" s="1"/>
  <c r="R11" i="5"/>
  <c r="R13" i="5" s="1"/>
  <c r="R15" i="5" s="1"/>
  <c r="R17" i="5" s="1"/>
  <c r="R19" i="5" s="1"/>
  <c r="R21" i="5" s="1"/>
  <c r="R23" i="5" s="1"/>
  <c r="R25" i="5" s="1"/>
  <c r="R27" i="5" s="1"/>
  <c r="R29" i="5" s="1"/>
  <c r="I11" i="3"/>
  <c r="I13" i="3" s="1"/>
  <c r="I15" i="3" s="1"/>
  <c r="I17" i="3" s="1"/>
  <c r="I19" i="3" s="1"/>
  <c r="I21" i="3" s="1"/>
  <c r="I23" i="3" s="1"/>
  <c r="I25" i="3" s="1"/>
  <c r="I27" i="3" s="1"/>
  <c r="I29" i="3" s="1"/>
  <c r="K9" i="4"/>
  <c r="K11" i="4" s="1"/>
  <c r="K13" i="4" s="1"/>
  <c r="K15" i="4" s="1"/>
  <c r="K17" i="4" s="1"/>
  <c r="K19" i="4" s="1"/>
  <c r="K21" i="4" s="1"/>
  <c r="K23" i="4" s="1"/>
  <c r="K25" i="4" s="1"/>
  <c r="K27" i="4" s="1"/>
  <c r="K29" i="4" s="1"/>
  <c r="G9" i="4"/>
  <c r="G11" i="4" s="1"/>
  <c r="G13" i="4" s="1"/>
  <c r="G15" i="4" s="1"/>
  <c r="G17" i="4" s="1"/>
  <c r="G19" i="4" s="1"/>
  <c r="G21" i="4" s="1"/>
  <c r="G23" i="4" s="1"/>
  <c r="G25" i="4" s="1"/>
  <c r="G27" i="4" s="1"/>
  <c r="G29" i="4" s="1"/>
  <c r="C9" i="4"/>
  <c r="C11" i="4" s="1"/>
  <c r="C13" i="4" s="1"/>
  <c r="C15" i="4" s="1"/>
  <c r="C17" i="4" s="1"/>
  <c r="C19" i="4" s="1"/>
  <c r="C21" i="4" s="1"/>
  <c r="C23" i="4" s="1"/>
  <c r="C25" i="4" s="1"/>
  <c r="C27" i="4" s="1"/>
  <c r="C29" i="4" s="1"/>
  <c r="M28" i="3"/>
  <c r="N28" i="3" s="1"/>
  <c r="M26" i="3"/>
  <c r="N26" i="3" s="1"/>
  <c r="F13" i="3"/>
  <c r="F15" i="3" s="1"/>
  <c r="F17" i="3" s="1"/>
  <c r="F19" i="3" s="1"/>
  <c r="F21" i="3" s="1"/>
  <c r="F23" i="3" s="1"/>
  <c r="F25" i="3" s="1"/>
  <c r="F27" i="3" s="1"/>
  <c r="F29" i="3" s="1"/>
  <c r="L13" i="3"/>
  <c r="L15" i="3" s="1"/>
  <c r="L17" i="3" s="1"/>
  <c r="L19" i="3" s="1"/>
  <c r="L21" i="3" s="1"/>
  <c r="L23" i="3" s="1"/>
  <c r="L25" i="3" s="1"/>
  <c r="L27" i="3" s="1"/>
  <c r="L29" i="3" s="1"/>
  <c r="N10" i="4"/>
  <c r="O10" i="4" s="1"/>
  <c r="N8" i="4"/>
  <c r="O8" i="4" s="1"/>
  <c r="M22" i="3"/>
  <c r="N22" i="3" s="1"/>
  <c r="M20" i="3"/>
  <c r="N20" i="3" s="1"/>
  <c r="M18" i="3"/>
  <c r="N18" i="3" s="1"/>
  <c r="M16" i="3"/>
  <c r="N16" i="3" s="1"/>
  <c r="J15" i="3"/>
  <c r="J17" i="3" s="1"/>
  <c r="J19" i="3" s="1"/>
  <c r="J21" i="3" s="1"/>
  <c r="J23" i="3" s="1"/>
  <c r="J25" i="3" s="1"/>
  <c r="J27" i="3" s="1"/>
  <c r="J29" i="3" s="1"/>
  <c r="M12" i="3"/>
  <c r="N12" i="3" s="1"/>
  <c r="D13" i="3"/>
  <c r="D15" i="3" s="1"/>
  <c r="D17" i="3" s="1"/>
  <c r="D19" i="3" s="1"/>
  <c r="D21" i="3" s="1"/>
  <c r="D23" i="3" s="1"/>
  <c r="D25" i="3" s="1"/>
  <c r="D27" i="3" s="1"/>
  <c r="D29" i="3" s="1"/>
  <c r="M10" i="3"/>
  <c r="N10" i="3" s="1"/>
  <c r="K11" i="3"/>
  <c r="K13" i="3" s="1"/>
  <c r="K15" i="3" s="1"/>
  <c r="K17" i="3" s="1"/>
  <c r="K19" i="3" s="1"/>
  <c r="K21" i="3" s="1"/>
  <c r="K23" i="3" s="1"/>
  <c r="K25" i="3" s="1"/>
  <c r="K27" i="3" s="1"/>
  <c r="K29" i="3" s="1"/>
  <c r="G11" i="3"/>
  <c r="G13" i="3" s="1"/>
  <c r="G15" i="3" s="1"/>
  <c r="G17" i="3" s="1"/>
  <c r="G19" i="3" s="1"/>
  <c r="G21" i="3" s="1"/>
  <c r="G23" i="3" s="1"/>
  <c r="G25" i="3" s="1"/>
  <c r="G27" i="3" s="1"/>
  <c r="G29" i="3" s="1"/>
  <c r="E11" i="3"/>
  <c r="E13" i="3" s="1"/>
  <c r="E15" i="3" s="1"/>
  <c r="E17" i="3" s="1"/>
  <c r="E19" i="3" s="1"/>
  <c r="E21" i="3" s="1"/>
  <c r="E23" i="3" s="1"/>
  <c r="E25" i="3" s="1"/>
  <c r="E27" i="3" s="1"/>
  <c r="E29" i="3" s="1"/>
  <c r="C11" i="3"/>
  <c r="C13" i="3" s="1"/>
  <c r="C15" i="3" s="1"/>
  <c r="C17" i="3" s="1"/>
  <c r="C19" i="3" s="1"/>
  <c r="C21" i="3" s="1"/>
  <c r="C23" i="3" s="1"/>
  <c r="C25" i="3" s="1"/>
  <c r="C27" i="3" s="1"/>
  <c r="C29" i="3" s="1"/>
  <c r="M8" i="3"/>
  <c r="N8" i="3" s="1"/>
  <c r="N28" i="4"/>
  <c r="O28" i="4" s="1"/>
  <c r="N26" i="4"/>
  <c r="O26" i="4" s="1"/>
  <c r="N24" i="4"/>
  <c r="O24" i="4" s="1"/>
  <c r="N22" i="4"/>
  <c r="O22" i="4" s="1"/>
  <c r="N20" i="4"/>
  <c r="O20" i="4" s="1"/>
  <c r="N18" i="4"/>
  <c r="O18" i="4" s="1"/>
  <c r="N16" i="4"/>
  <c r="O16" i="4" s="1"/>
  <c r="N14" i="4"/>
  <c r="O14" i="4" s="1"/>
  <c r="L9" i="4"/>
  <c r="L11" i="4" s="1"/>
  <c r="L13" i="4" s="1"/>
  <c r="L15" i="4" s="1"/>
  <c r="L17" i="4" s="1"/>
  <c r="L19" i="4" s="1"/>
  <c r="L21" i="4" s="1"/>
  <c r="L23" i="4" s="1"/>
  <c r="L25" i="4" s="1"/>
  <c r="L27" i="4" s="1"/>
  <c r="L29" i="4" s="1"/>
  <c r="H9" i="4"/>
  <c r="H11" i="4" s="1"/>
  <c r="H13" i="4" s="1"/>
  <c r="H15" i="4" s="1"/>
  <c r="H17" i="4" s="1"/>
  <c r="H19" i="4" s="1"/>
  <c r="H21" i="4" s="1"/>
  <c r="H23" i="4" s="1"/>
  <c r="H25" i="4" s="1"/>
  <c r="H27" i="4" s="1"/>
  <c r="H29" i="4" s="1"/>
  <c r="D9" i="4"/>
  <c r="D11" i="4" s="1"/>
  <c r="D13" i="4" s="1"/>
  <c r="D15" i="4" s="1"/>
  <c r="D17" i="4" s="1"/>
  <c r="D19" i="4" s="1"/>
  <c r="D21" i="4" s="1"/>
  <c r="D23" i="4" s="1"/>
  <c r="D25" i="4" s="1"/>
  <c r="D27" i="4" s="1"/>
  <c r="D29" i="4" s="1"/>
  <c r="N6" i="4"/>
  <c r="O6" i="4" s="1"/>
  <c r="L7" i="5"/>
  <c r="L9" i="5" s="1"/>
  <c r="X11" i="5"/>
  <c r="X13" i="5" s="1"/>
  <c r="X15" i="5" s="1"/>
  <c r="X17" i="5" s="1"/>
  <c r="X19" i="5" s="1"/>
  <c r="X21" i="5" s="1"/>
  <c r="X23" i="5" s="1"/>
  <c r="X25" i="5" s="1"/>
  <c r="X27" i="5" s="1"/>
  <c r="X29" i="5" s="1"/>
  <c r="T11" i="5"/>
  <c r="T13" i="5" s="1"/>
  <c r="T15" i="5" s="1"/>
  <c r="T17" i="5" s="1"/>
  <c r="T19" i="5" s="1"/>
  <c r="T21" i="5" s="1"/>
  <c r="T23" i="5" s="1"/>
  <c r="T25" i="5" s="1"/>
  <c r="T27" i="5" s="1"/>
  <c r="T29" i="5" s="1"/>
  <c r="I11" i="5"/>
  <c r="I13" i="5" s="1"/>
  <c r="E11" i="5"/>
  <c r="E13" i="5" s="1"/>
  <c r="E15" i="5" s="1"/>
  <c r="E17" i="5" s="1"/>
  <c r="E19" i="5" s="1"/>
  <c r="E21" i="5" s="1"/>
  <c r="V13" i="5"/>
  <c r="V15" i="5" s="1"/>
  <c r="V17" i="5" s="1"/>
  <c r="V19" i="5" s="1"/>
  <c r="V21" i="5" s="1"/>
  <c r="V23" i="5" s="1"/>
  <c r="V25" i="5" s="1"/>
  <c r="V27" i="5" s="1"/>
  <c r="V29" i="5" s="1"/>
  <c r="G13" i="5"/>
  <c r="G15" i="5" s="1"/>
  <c r="G17" i="5" s="1"/>
  <c r="G19" i="5" s="1"/>
  <c r="G21" i="5" s="1"/>
  <c r="G23" i="5" s="1"/>
  <c r="G25" i="5" s="1"/>
  <c r="G27" i="5" s="1"/>
  <c r="G29" i="5" s="1"/>
  <c r="AA11" i="5"/>
  <c r="AA13" i="5" s="1"/>
  <c r="AA15" i="5" s="1"/>
  <c r="AA17" i="5" s="1"/>
  <c r="AA19" i="5" s="1"/>
  <c r="Y11" i="5"/>
  <c r="Y13" i="5" s="1"/>
  <c r="Y15" i="5" s="1"/>
  <c r="Y17" i="5" s="1"/>
  <c r="Y19" i="5" s="1"/>
  <c r="Y21" i="5" s="1"/>
  <c r="Y23" i="5" s="1"/>
  <c r="Y25" i="5" s="1"/>
  <c r="Y27" i="5" s="1"/>
  <c r="Y29" i="5" s="1"/>
  <c r="W11" i="5"/>
  <c r="W13" i="5" s="1"/>
  <c r="W15" i="5" s="1"/>
  <c r="W17" i="5" s="1"/>
  <c r="W19" i="5" s="1"/>
  <c r="W21" i="5" s="1"/>
  <c r="U11" i="5"/>
  <c r="U13" i="5" s="1"/>
  <c r="U15" i="5" s="1"/>
  <c r="U17" i="5" s="1"/>
  <c r="U19" i="5" s="1"/>
  <c r="U21" i="5" s="1"/>
  <c r="U23" i="5" s="1"/>
  <c r="U25" i="5" s="1"/>
  <c r="U27" i="5" s="1"/>
  <c r="U29" i="5" s="1"/>
  <c r="D11" i="5"/>
  <c r="D13" i="5" s="1"/>
  <c r="D15" i="5" s="1"/>
  <c r="H7" i="5"/>
  <c r="H9" i="5" s="1"/>
  <c r="N7" i="3"/>
  <c r="C7" i="5"/>
  <c r="C9" i="5" s="1"/>
  <c r="C11" i="5" s="1"/>
  <c r="M6" i="5"/>
  <c r="M5" i="5"/>
  <c r="F7" i="5"/>
  <c r="F9" i="5" s="1"/>
  <c r="Q7" i="5"/>
  <c r="Q9" i="5" s="1"/>
  <c r="Q11" i="5" s="1"/>
  <c r="AB5" i="5"/>
  <c r="N5" i="3"/>
  <c r="N5" i="4"/>
  <c r="X33" i="5" l="1"/>
  <c r="V33" i="5"/>
  <c r="M9" i="3"/>
  <c r="M11" i="3" s="1"/>
  <c r="Z17" i="5"/>
  <c r="W23" i="5"/>
  <c r="W25" i="5" s="1"/>
  <c r="W27" i="5" s="1"/>
  <c r="W29" i="5" s="1"/>
  <c r="J33" i="5" s="1"/>
  <c r="E23" i="5"/>
  <c r="E25" i="5" s="1"/>
  <c r="E27" i="5" s="1"/>
  <c r="E29" i="5" s="1"/>
  <c r="AA21" i="5"/>
  <c r="AA23" i="5" s="1"/>
  <c r="D17" i="5"/>
  <c r="I15" i="5"/>
  <c r="I17" i="5" s="1"/>
  <c r="I19" i="5" s="1"/>
  <c r="I21" i="5" s="1"/>
  <c r="I23" i="5" s="1"/>
  <c r="L11" i="5"/>
  <c r="F11" i="5"/>
  <c r="F13" i="5" s="1"/>
  <c r="F15" i="5" s="1"/>
  <c r="F17" i="5" s="1"/>
  <c r="F19" i="5" s="1"/>
  <c r="F21" i="5" s="1"/>
  <c r="F23" i="5" s="1"/>
  <c r="F25" i="5" s="1"/>
  <c r="F27" i="5" s="1"/>
  <c r="F29" i="5" s="1"/>
  <c r="H11" i="5"/>
  <c r="H13" i="5" s="1"/>
  <c r="H15" i="5" s="1"/>
  <c r="H17" i="5" s="1"/>
  <c r="H19" i="5" s="1"/>
  <c r="H21" i="5" s="1"/>
  <c r="H23" i="5" s="1"/>
  <c r="H25" i="5" s="1"/>
  <c r="H27" i="5" s="1"/>
  <c r="H29" i="5" s="1"/>
  <c r="H33" i="5" s="1"/>
  <c r="AD5" i="5"/>
  <c r="AE5" i="5" s="1"/>
  <c r="C13" i="5"/>
  <c r="N9" i="3"/>
  <c r="S7" i="5"/>
  <c r="S9" i="5" s="1"/>
  <c r="M7" i="5"/>
  <c r="M9" i="5" s="1"/>
  <c r="O5" i="4"/>
  <c r="N7" i="4"/>
  <c r="Z19" i="5" l="1"/>
  <c r="Z21" i="5" s="1"/>
  <c r="Z23" i="5" s="1"/>
  <c r="Z25" i="5" s="1"/>
  <c r="Z27" i="5" s="1"/>
  <c r="Z29" i="5" s="1"/>
  <c r="AB7" i="5"/>
  <c r="AA25" i="5"/>
  <c r="I25" i="5"/>
  <c r="I27" i="5" s="1"/>
  <c r="I29" i="5" s="1"/>
  <c r="L13" i="5"/>
  <c r="L15" i="5" s="1"/>
  <c r="L17" i="5" s="1"/>
  <c r="L19" i="5" s="1"/>
  <c r="L21" i="5" s="1"/>
  <c r="L23" i="5" s="1"/>
  <c r="L25" i="5" s="1"/>
  <c r="L27" i="5" s="1"/>
  <c r="L29" i="5" s="1"/>
  <c r="D19" i="5"/>
  <c r="D21" i="5" s="1"/>
  <c r="D23" i="5" s="1"/>
  <c r="D25" i="5" s="1"/>
  <c r="D27" i="5" s="1"/>
  <c r="D29" i="5" s="1"/>
  <c r="D33" i="5" s="1"/>
  <c r="M11" i="5"/>
  <c r="M13" i="5" s="1"/>
  <c r="S11" i="5"/>
  <c r="N9" i="4"/>
  <c r="O7" i="4"/>
  <c r="N11" i="3"/>
  <c r="M13" i="3"/>
  <c r="C15" i="5"/>
  <c r="AB9" i="5" l="1"/>
  <c r="AD9" i="5" s="1"/>
  <c r="AD7" i="5"/>
  <c r="AE7" i="5" s="1"/>
  <c r="AA27" i="5"/>
  <c r="AA29" i="5" s="1"/>
  <c r="S13" i="5"/>
  <c r="S15" i="5" s="1"/>
  <c r="N13" i="3"/>
  <c r="M15" i="3"/>
  <c r="C17" i="5"/>
  <c r="M15" i="5"/>
  <c r="O9" i="4"/>
  <c r="N11" i="4"/>
  <c r="AB11" i="5" l="1"/>
  <c r="AD11" i="5" s="1"/>
  <c r="AE11" i="5" s="1"/>
  <c r="S17" i="5"/>
  <c r="AB15" i="5"/>
  <c r="AD15" i="5" s="1"/>
  <c r="M17" i="5"/>
  <c r="AE9" i="5"/>
  <c r="O11" i="4"/>
  <c r="N13" i="4"/>
  <c r="N15" i="3"/>
  <c r="M17" i="3"/>
  <c r="C19" i="5"/>
  <c r="S19" i="5" l="1"/>
  <c r="S21" i="5" s="1"/>
  <c r="AB17" i="5"/>
  <c r="AD17" i="5" s="1"/>
  <c r="AB13" i="5"/>
  <c r="M19" i="5"/>
  <c r="N17" i="3"/>
  <c r="M19" i="3"/>
  <c r="O13" i="4"/>
  <c r="N15" i="4"/>
  <c r="C21" i="5"/>
  <c r="AD13" i="5" l="1"/>
  <c r="AE13" i="5" s="1"/>
  <c r="S23" i="5"/>
  <c r="S25" i="5" s="1"/>
  <c r="S27" i="5" s="1"/>
  <c r="S29" i="5" s="1"/>
  <c r="E33" i="5" s="1"/>
  <c r="AB21" i="5"/>
  <c r="AD21" i="5" s="1"/>
  <c r="AB19" i="5"/>
  <c r="AD19" i="5" s="1"/>
  <c r="C23" i="5"/>
  <c r="M21" i="5"/>
  <c r="O15" i="4"/>
  <c r="N17" i="4"/>
  <c r="N19" i="3"/>
  <c r="M21" i="3"/>
  <c r="C25" i="5" l="1"/>
  <c r="M23" i="5"/>
  <c r="N21" i="3"/>
  <c r="M23" i="3"/>
  <c r="O17" i="4"/>
  <c r="N19" i="4"/>
  <c r="C27" i="5" l="1"/>
  <c r="M25" i="5"/>
  <c r="O19" i="4"/>
  <c r="N21" i="4"/>
  <c r="N23" i="3"/>
  <c r="M25" i="3"/>
  <c r="C29" i="5" l="1"/>
  <c r="M27" i="5"/>
  <c r="N25" i="3"/>
  <c r="M27" i="3"/>
  <c r="O21" i="4"/>
  <c r="N23" i="4"/>
  <c r="M29" i="5" l="1"/>
  <c r="O23" i="4"/>
  <c r="N25" i="4"/>
  <c r="M29" i="3"/>
  <c r="N29" i="3" s="1"/>
  <c r="N27" i="3"/>
  <c r="N27" i="4" l="1"/>
  <c r="O25" i="4"/>
  <c r="N29" i="4" l="1"/>
  <c r="O29" i="4" s="1"/>
  <c r="O27" i="4"/>
  <c r="AE15" i="5"/>
  <c r="AE17" i="5"/>
  <c r="AE19" i="5" l="1"/>
  <c r="AB23" i="5" l="1"/>
  <c r="AD23" i="5" s="1"/>
  <c r="AE21" i="5"/>
  <c r="AE23" i="5" l="1"/>
  <c r="AB25" i="5"/>
  <c r="AD25" i="5" s="1"/>
  <c r="AE25" i="5" l="1"/>
  <c r="AB27" i="5"/>
  <c r="AB29" i="5" s="1"/>
  <c r="AD27" i="5" l="1"/>
  <c r="AE27" i="5" s="1"/>
  <c r="AD29" i="5"/>
  <c r="AE29" i="5" s="1"/>
</calcChain>
</file>

<file path=xl/sharedStrings.xml><?xml version="1.0" encoding="utf-8"?>
<sst xmlns="http://schemas.openxmlformats.org/spreadsheetml/2006/main" count="229" uniqueCount="44">
  <si>
    <t>RINCIAN</t>
  </si>
  <si>
    <t>Neraca Akhir Tahun Lalu</t>
  </si>
  <si>
    <t>SIMPANAN ANGGOTA</t>
  </si>
  <si>
    <t>POKOK</t>
  </si>
  <si>
    <t>WAJIB</t>
  </si>
  <si>
    <t>LAIN-LAIN</t>
  </si>
  <si>
    <t>SIMPANAN BJB</t>
  </si>
  <si>
    <t>CM</t>
  </si>
  <si>
    <t>MD</t>
  </si>
  <si>
    <t>SHU</t>
  </si>
  <si>
    <t>DANA</t>
  </si>
  <si>
    <t>PENJUALAN</t>
  </si>
  <si>
    <t>JASA</t>
  </si>
  <si>
    <t>No.</t>
  </si>
  <si>
    <t>Perubahan Bulan Januari</t>
  </si>
  <si>
    <t>Perubahan Bulan Februari</t>
  </si>
  <si>
    <t>Perubahan Bulan Maret</t>
  </si>
  <si>
    <t>Perubahan Bulan April</t>
  </si>
  <si>
    <t>Perubahan Bulan Mei</t>
  </si>
  <si>
    <t>Perubahan Bulan Juni</t>
  </si>
  <si>
    <t>Perubahan Bulan Juli</t>
  </si>
  <si>
    <t>Perubahan Bulan Agustus</t>
  </si>
  <si>
    <t>Perubahan Bulan September</t>
  </si>
  <si>
    <t>Perubahan Bulan Oktober</t>
  </si>
  <si>
    <t>Perubahan Bulan November</t>
  </si>
  <si>
    <t>Perubahan Bulan Desember</t>
  </si>
  <si>
    <t>DANA-DANA</t>
  </si>
  <si>
    <t>BIAYA UMUM</t>
  </si>
  <si>
    <t>PEMB. INVENTARIS</t>
  </si>
  <si>
    <t>PEMB. BARANG</t>
  </si>
  <si>
    <t>CAD. MODAL</t>
  </si>
  <si>
    <t>KAS</t>
  </si>
  <si>
    <t>JUMLAH PENERIMAAN</t>
  </si>
  <si>
    <t>JUMLAH</t>
  </si>
  <si>
    <t>KET.</t>
  </si>
  <si>
    <t>JUMLAH PENGELUARAN</t>
  </si>
  <si>
    <t>BATAS PEMISAH ANTARA PEMASUKAN DAN PENGELUARAN</t>
  </si>
  <si>
    <t>SISA KAS</t>
  </si>
  <si>
    <t>BALANCE</t>
  </si>
  <si>
    <t xml:space="preserve">DANA </t>
  </si>
  <si>
    <t>P.BARANG</t>
  </si>
  <si>
    <t xml:space="preserve">                                    </t>
  </si>
  <si>
    <t xml:space="preserve"> </t>
  </si>
  <si>
    <t>BUKU TABELARIS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</si>
</sst>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p&quot;* #,##0.00_-;\-&quot;Rp&quot;* #,##0.00_-;_-&quot;Rp&quot;* &quot;-&quot;??_-;_-@_-"/>
    <numFmt numFmtId="164" formatCode="_(&quot;Rp&quot;* #,##0_);_(&quot;Rp&quot;* \(#,##0\);_(&quot;Rp&quot;* &quot;-&quot;_);_(@_)"/>
    <numFmt numFmtId="165" formatCode="_([$Rp-421]* #,##0.00_);_([$Rp-421]* \(#,##0.00\);_([$Rp-421]* &quot;-&quot;??_);_(@_)"/>
    <numFmt numFmtId="166" formatCode="&quot;Rp&quot;#,##0"/>
    <numFmt numFmtId="167" formatCode="&quot;Rp&quot;#,##0.00"/>
    <numFmt numFmtId="168" formatCode="_(&quot;Rp&quot;* #,##0.00_);_(&quot;Rp&quot;* \(#,##0.00\);_(&quot;Rp&quot;* &quot;-&quot;_);_(@_)"/>
    <numFmt numFmtId="169" formatCode="_(&quot;Rp&quot;* #,##0.0_);_(&quot;Rp&quot;* \(#,##0.0\);_(&quot;Rp&quot;* &quot;-&quot;_);_(@_)"/>
    <numFmt numFmtId="170" formatCode="_([$Rp-421]* #,##0.0000_);_([$Rp-421]* \(#,##0.0000\);_([$Rp-421]* &quot;-&quot;??_);_(@_)"/>
    <numFmt numFmtId="171" formatCode="_([$Rp-421]* #,##0.0_);_([$Rp-421]* \(#,##0.0\);_([$Rp-421]* &quot;-&quot;??_);_(@_)"/>
    <numFmt numFmtId="172" formatCode="_-[$Rp-421]* #,##0.00_-;\-[$Rp-421]* #,##0.00_-;_-[$Rp-421]* &quot;-&quot;??_-;_-@_-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6"/>
      <color theme="1"/>
      <name val="Calibri"/>
      <family val="2"/>
      <charset val="1"/>
      <scheme val="minor"/>
    </font>
    <font>
      <b/>
      <sz val="25"/>
      <color theme="1"/>
      <name val="Papyrus"/>
      <family val="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0" xfId="0" applyFont="1"/>
    <xf numFmtId="165" fontId="0" fillId="0" borderId="1" xfId="0" applyNumberFormat="1" applyBorder="1" applyAlignment="1">
      <alignment horizontal="center" vertical="center"/>
    </xf>
    <xf numFmtId="168" fontId="3" fillId="0" borderId="1" xfId="0" applyNumberFormat="1" applyFont="1" applyBorder="1"/>
    <xf numFmtId="168" fontId="5" fillId="0" borderId="1" xfId="0" applyNumberFormat="1" applyFont="1" applyBorder="1"/>
    <xf numFmtId="170" fontId="3" fillId="0" borderId="1" xfId="0" applyNumberFormat="1" applyFont="1" applyBorder="1"/>
    <xf numFmtId="170" fontId="0" fillId="0" borderId="1" xfId="0" applyNumberFormat="1" applyBorder="1" applyAlignment="1">
      <alignment horizontal="center" vertical="center"/>
    </xf>
    <xf numFmtId="170" fontId="5" fillId="0" borderId="1" xfId="0" applyNumberFormat="1" applyFont="1" applyBorder="1"/>
    <xf numFmtId="166" fontId="0" fillId="0" borderId="0" xfId="0" applyNumberFormat="1"/>
    <xf numFmtId="164" fontId="0" fillId="0" borderId="0" xfId="0" applyNumberFormat="1"/>
    <xf numFmtId="164" fontId="4" fillId="0" borderId="0" xfId="0" applyNumberFormat="1" applyFont="1"/>
    <xf numFmtId="3" fontId="4" fillId="0" borderId="0" xfId="0" applyNumberFormat="1" applyFont="1"/>
    <xf numFmtId="4" fontId="4" fillId="0" borderId="0" xfId="0" applyNumberFormat="1" applyFont="1"/>
    <xf numFmtId="168" fontId="4" fillId="0" borderId="0" xfId="0" applyNumberFormat="1" applyFont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/>
    <xf numFmtId="165" fontId="0" fillId="0" borderId="1" xfId="0" applyNumberFormat="1" applyBorder="1"/>
    <xf numFmtId="16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8" fontId="6" fillId="0" borderId="1" xfId="0" applyNumberFormat="1" applyFont="1" applyBorder="1"/>
    <xf numFmtId="165" fontId="6" fillId="0" borderId="1" xfId="0" applyNumberFormat="1" applyFont="1" applyBorder="1"/>
    <xf numFmtId="165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0" xfId="0" applyFont="1"/>
    <xf numFmtId="165" fontId="4" fillId="0" borderId="1" xfId="0" applyNumberFormat="1" applyFont="1" applyBorder="1"/>
    <xf numFmtId="165" fontId="4" fillId="0" borderId="1" xfId="0" applyNumberFormat="1" applyFont="1" applyBorder="1" applyAlignment="1">
      <alignment horizontal="center"/>
    </xf>
    <xf numFmtId="170" fontId="3" fillId="0" borderId="1" xfId="0" applyNumberFormat="1" applyFont="1" applyBorder="1" applyAlignment="1">
      <alignment horizontal="left"/>
    </xf>
    <xf numFmtId="167" fontId="2" fillId="0" borderId="3" xfId="0" applyNumberFormat="1" applyFont="1" applyBorder="1"/>
    <xf numFmtId="167" fontId="0" fillId="0" borderId="1" xfId="0" applyNumberFormat="1" applyBorder="1"/>
    <xf numFmtId="167" fontId="7" fillId="0" borderId="1" xfId="0" applyNumberFormat="1" applyFont="1" applyBorder="1"/>
    <xf numFmtId="167" fontId="3" fillId="0" borderId="1" xfId="0" applyNumberFormat="1" applyFont="1" applyBorder="1"/>
    <xf numFmtId="165" fontId="0" fillId="0" borderId="1" xfId="0" applyNumberFormat="1" applyBorder="1" applyAlignment="1">
      <alignment horizontal="left" indent="1"/>
    </xf>
    <xf numFmtId="170" fontId="3" fillId="0" borderId="1" xfId="0" quotePrefix="1" applyNumberFormat="1" applyFont="1" applyBorder="1"/>
    <xf numFmtId="165" fontId="8" fillId="0" borderId="1" xfId="0" applyNumberFormat="1" applyFont="1" applyBorder="1"/>
    <xf numFmtId="167" fontId="4" fillId="0" borderId="3" xfId="0" applyNumberFormat="1" applyFont="1" applyBorder="1"/>
    <xf numFmtId="167" fontId="0" fillId="0" borderId="3" xfId="0" applyNumberFormat="1" applyBorder="1"/>
    <xf numFmtId="167" fontId="2" fillId="0" borderId="1" xfId="0" applyNumberFormat="1" applyFont="1" applyBorder="1"/>
    <xf numFmtId="167" fontId="2" fillId="0" borderId="3" xfId="0" applyNumberFormat="1" applyFont="1" applyBorder="1" applyAlignment="1">
      <alignment horizontal="center"/>
    </xf>
    <xf numFmtId="171" fontId="6" fillId="0" borderId="1" xfId="0" applyNumberFormat="1" applyFont="1" applyBorder="1"/>
    <xf numFmtId="171" fontId="6" fillId="0" borderId="1" xfId="0" applyNumberFormat="1" applyFont="1" applyBorder="1" applyAlignment="1">
      <alignment horizontal="center"/>
    </xf>
    <xf numFmtId="171" fontId="4" fillId="0" borderId="1" xfId="0" applyNumberFormat="1" applyFont="1" applyBorder="1"/>
    <xf numFmtId="171" fontId="0" fillId="0" borderId="1" xfId="0" applyNumberFormat="1" applyBorder="1"/>
    <xf numFmtId="169" fontId="2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Border="1"/>
    <xf numFmtId="169" fontId="0" fillId="0" borderId="1" xfId="0" applyNumberFormat="1" applyBorder="1"/>
    <xf numFmtId="169" fontId="6" fillId="0" borderId="1" xfId="0" applyNumberFormat="1" applyFont="1" applyBorder="1"/>
    <xf numFmtId="169" fontId="6" fillId="0" borderId="1" xfId="1" applyNumberFormat="1" applyFont="1" applyBorder="1"/>
    <xf numFmtId="169" fontId="0" fillId="0" borderId="0" xfId="0" applyNumberFormat="1"/>
    <xf numFmtId="165" fontId="4" fillId="2" borderId="1" xfId="0" applyNumberFormat="1" applyFont="1" applyFill="1" applyBorder="1"/>
    <xf numFmtId="172" fontId="0" fillId="0" borderId="0" xfId="0" applyNumberFormat="1"/>
    <xf numFmtId="44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9" fontId="2" fillId="0" borderId="2" xfId="0" applyNumberFormat="1" applyFont="1" applyBorder="1" applyAlignment="1">
      <alignment horizontal="center" vertical="center"/>
    </xf>
    <xf numFmtId="169" fontId="2" fillId="0" borderId="3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textRotation="180"/>
    </xf>
  </cellXfs>
  <cellStyles count="2">
    <cellStyle name="Currency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PSIS%20-%20RAT%202021\TABELARIS-2017-Jajang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emasukan"/>
      <sheetName val="Data Pengeluaran"/>
      <sheetName val="Hasil Pemasukan"/>
      <sheetName val="Hasil Pengeluaran"/>
      <sheetName val="Hasil Akhir"/>
      <sheetName val="kotretan"/>
    </sheetNames>
    <sheetDataSet>
      <sheetData sheetId="0" refreshError="1"/>
      <sheetData sheetId="1" refreshError="1"/>
      <sheetData sheetId="2" refreshError="1">
        <row r="5">
          <cell r="F5">
            <v>0</v>
          </cell>
          <cell r="L5">
            <v>0</v>
          </cell>
        </row>
        <row r="6">
          <cell r="C6">
            <v>0</v>
          </cell>
        </row>
      </sheetData>
      <sheetData sheetId="3" refreshError="1">
        <row r="5">
          <cell r="C5">
            <v>0</v>
          </cell>
          <cell r="E5">
            <v>0</v>
          </cell>
          <cell r="L5">
            <v>0</v>
          </cell>
          <cell r="M5">
            <v>0</v>
          </cell>
        </row>
        <row r="6">
          <cell r="C6">
            <v>0</v>
          </cell>
          <cell r="E6">
            <v>0</v>
          </cell>
          <cell r="M6">
            <v>0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7"/>
  <sheetViews>
    <sheetView topLeftCell="G2" workbookViewId="0">
      <selection activeCell="I5" sqref="I5"/>
    </sheetView>
  </sheetViews>
  <sheetFormatPr defaultRowHeight="15" x14ac:dyDescent="0.25"/>
  <cols>
    <col min="1" max="1" width="5.7109375" style="2" customWidth="1"/>
    <col min="2" max="2" width="27.7109375" style="3" customWidth="1"/>
    <col min="3" max="12" width="20.7109375" customWidth="1"/>
  </cols>
  <sheetData>
    <row r="3" spans="1:12" s="2" customFormat="1" x14ac:dyDescent="0.25">
      <c r="A3" s="58" t="s">
        <v>13</v>
      </c>
      <c r="B3" s="58" t="s">
        <v>0</v>
      </c>
      <c r="C3" s="58" t="s">
        <v>2</v>
      </c>
      <c r="D3" s="58"/>
      <c r="E3" s="58"/>
      <c r="F3" s="59" t="s">
        <v>6</v>
      </c>
      <c r="G3" s="59" t="s">
        <v>7</v>
      </c>
      <c r="H3" s="59" t="s">
        <v>8</v>
      </c>
      <c r="I3" s="59" t="s">
        <v>9</v>
      </c>
      <c r="J3" s="59" t="s">
        <v>10</v>
      </c>
      <c r="K3" s="59" t="s">
        <v>11</v>
      </c>
      <c r="L3" s="59" t="s">
        <v>12</v>
      </c>
    </row>
    <row r="4" spans="1:12" s="2" customFormat="1" x14ac:dyDescent="0.25">
      <c r="A4" s="58"/>
      <c r="B4" s="58"/>
      <c r="C4" s="4" t="s">
        <v>3</v>
      </c>
      <c r="D4" s="4" t="s">
        <v>4</v>
      </c>
      <c r="E4" s="4" t="s">
        <v>5</v>
      </c>
      <c r="F4" s="60"/>
      <c r="G4" s="60"/>
      <c r="H4" s="60"/>
      <c r="I4" s="60"/>
      <c r="J4" s="60"/>
      <c r="K4" s="60"/>
      <c r="L4" s="60"/>
    </row>
    <row r="5" spans="1:12" x14ac:dyDescent="0.25">
      <c r="A5" s="4">
        <v>1</v>
      </c>
      <c r="B5" s="5" t="s">
        <v>1</v>
      </c>
      <c r="C5" s="41">
        <v>8005000</v>
      </c>
      <c r="D5" s="41">
        <v>9957500</v>
      </c>
      <c r="E5" s="41">
        <v>1350939.79</v>
      </c>
      <c r="F5" s="41"/>
      <c r="G5" s="41">
        <v>77905995.120000005</v>
      </c>
      <c r="H5" s="41">
        <v>7712437</v>
      </c>
      <c r="I5" s="41">
        <v>50023533</v>
      </c>
      <c r="J5" s="41">
        <v>18796564.949999999</v>
      </c>
      <c r="K5" s="41"/>
      <c r="L5" s="41"/>
    </row>
    <row r="6" spans="1:12" x14ac:dyDescent="0.25">
      <c r="A6" s="4">
        <v>2</v>
      </c>
      <c r="B6" s="5" t="s">
        <v>14</v>
      </c>
      <c r="C6" s="35"/>
      <c r="D6" s="35"/>
      <c r="E6" s="35"/>
      <c r="F6" s="35"/>
      <c r="G6" s="35"/>
      <c r="H6" s="35"/>
      <c r="I6" s="35"/>
      <c r="J6" s="35"/>
      <c r="K6" s="35">
        <v>31950900</v>
      </c>
      <c r="L6" s="35">
        <v>1250000</v>
      </c>
    </row>
    <row r="7" spans="1:12" x14ac:dyDescent="0.25">
      <c r="A7" s="4">
        <v>3</v>
      </c>
      <c r="B7" s="5" t="s">
        <v>15</v>
      </c>
      <c r="C7" s="42"/>
      <c r="D7" s="42"/>
      <c r="E7" s="42"/>
      <c r="F7" s="42"/>
      <c r="G7" s="42"/>
      <c r="H7" s="42"/>
      <c r="I7" s="42"/>
      <c r="J7" s="42"/>
      <c r="K7" s="42"/>
      <c r="L7" s="42"/>
    </row>
    <row r="8" spans="1:12" x14ac:dyDescent="0.25">
      <c r="A8" s="4">
        <v>4</v>
      </c>
      <c r="B8" s="5" t="s">
        <v>16</v>
      </c>
      <c r="C8" s="42"/>
      <c r="D8" s="42"/>
      <c r="E8" s="42"/>
      <c r="F8" s="42"/>
      <c r="G8" s="42"/>
      <c r="H8" s="42"/>
      <c r="I8" s="42"/>
      <c r="J8" s="42"/>
      <c r="K8" s="42"/>
      <c r="L8" s="42"/>
    </row>
    <row r="9" spans="1:12" x14ac:dyDescent="0.25">
      <c r="A9" s="4">
        <v>5</v>
      </c>
      <c r="B9" s="5" t="s">
        <v>17</v>
      </c>
      <c r="C9" s="42"/>
      <c r="D9" s="42"/>
      <c r="E9" s="42"/>
      <c r="F9" s="42"/>
      <c r="G9" s="42"/>
      <c r="H9" s="42"/>
      <c r="I9" s="42"/>
      <c r="J9" s="42"/>
      <c r="K9" s="42"/>
      <c r="L9" s="42"/>
    </row>
    <row r="10" spans="1:12" x14ac:dyDescent="0.25">
      <c r="A10" s="4">
        <v>6</v>
      </c>
      <c r="B10" s="5" t="s">
        <v>18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</row>
    <row r="11" spans="1:12" x14ac:dyDescent="0.25">
      <c r="A11" s="4">
        <v>7</v>
      </c>
      <c r="B11" s="5" t="s">
        <v>19</v>
      </c>
      <c r="C11" s="37"/>
      <c r="D11" s="37"/>
      <c r="E11" s="37"/>
      <c r="F11" s="37"/>
      <c r="G11" s="37"/>
      <c r="H11" s="37"/>
      <c r="I11" s="37"/>
      <c r="J11" s="37"/>
      <c r="K11" s="35"/>
      <c r="L11" s="37"/>
    </row>
    <row r="12" spans="1:12" x14ac:dyDescent="0.25">
      <c r="A12" s="4">
        <v>8</v>
      </c>
      <c r="B12" s="5" t="s">
        <v>20</v>
      </c>
      <c r="C12" s="37"/>
      <c r="D12" s="37"/>
      <c r="E12" s="37"/>
      <c r="F12" s="37"/>
      <c r="G12" s="37"/>
      <c r="H12" s="37"/>
      <c r="I12" s="37"/>
      <c r="J12" s="37"/>
      <c r="K12" s="35"/>
      <c r="L12" s="37"/>
    </row>
    <row r="13" spans="1:12" x14ac:dyDescent="0.25">
      <c r="A13" s="4">
        <v>9</v>
      </c>
      <c r="B13" s="5" t="s">
        <v>21</v>
      </c>
      <c r="C13" s="37"/>
      <c r="D13" s="37"/>
      <c r="E13" s="37"/>
      <c r="F13" s="37"/>
      <c r="G13" s="37"/>
      <c r="H13" s="37"/>
      <c r="I13" s="37"/>
      <c r="J13" s="37"/>
      <c r="K13" s="36"/>
      <c r="L13" s="37"/>
    </row>
    <row r="14" spans="1:12" x14ac:dyDescent="0.25">
      <c r="A14" s="4">
        <v>10</v>
      </c>
      <c r="B14" s="5" t="s">
        <v>22</v>
      </c>
      <c r="C14" s="37"/>
      <c r="D14" s="37"/>
      <c r="E14" s="37"/>
      <c r="F14" s="37"/>
      <c r="G14" s="37"/>
      <c r="H14" s="37"/>
      <c r="I14" s="37"/>
      <c r="J14" s="37"/>
      <c r="K14" s="36"/>
      <c r="L14" s="37"/>
    </row>
    <row r="15" spans="1:12" x14ac:dyDescent="0.25">
      <c r="A15" s="4">
        <v>11</v>
      </c>
      <c r="B15" s="5" t="s">
        <v>23</v>
      </c>
      <c r="C15" s="37"/>
      <c r="D15" s="37"/>
      <c r="E15" s="37"/>
      <c r="F15" s="37"/>
      <c r="G15" s="37"/>
      <c r="H15" s="37"/>
      <c r="I15" s="37"/>
      <c r="J15" s="37"/>
      <c r="K15" s="36"/>
      <c r="L15" s="37"/>
    </row>
    <row r="16" spans="1:12" x14ac:dyDescent="0.25">
      <c r="A16" s="4">
        <v>12</v>
      </c>
      <c r="B16" s="5" t="s">
        <v>24</v>
      </c>
      <c r="C16" s="37"/>
      <c r="D16" s="37"/>
      <c r="E16" s="37"/>
      <c r="F16" s="37"/>
      <c r="G16" s="37"/>
      <c r="H16" s="37"/>
      <c r="I16" s="37"/>
      <c r="J16" s="37"/>
      <c r="K16" s="36"/>
      <c r="L16" s="37"/>
    </row>
    <row r="17" spans="1:12" x14ac:dyDescent="0.25">
      <c r="A17" s="4">
        <v>13</v>
      </c>
      <c r="B17" s="5" t="s">
        <v>25</v>
      </c>
      <c r="C17" s="37"/>
      <c r="D17" s="37"/>
      <c r="E17" s="37"/>
      <c r="F17" s="37"/>
      <c r="G17" s="37"/>
      <c r="H17" s="37"/>
      <c r="I17" s="37"/>
      <c r="J17" s="37"/>
      <c r="K17" s="36"/>
      <c r="L17" s="37"/>
    </row>
  </sheetData>
  <mergeCells count="10">
    <mergeCell ref="L3:L4"/>
    <mergeCell ref="J3:J4"/>
    <mergeCell ref="H3:H4"/>
    <mergeCell ref="I3:I4"/>
    <mergeCell ref="K3:K4"/>
    <mergeCell ref="A3:A4"/>
    <mergeCell ref="B3:B4"/>
    <mergeCell ref="C3:E3"/>
    <mergeCell ref="F3:F4"/>
    <mergeCell ref="G3:G4"/>
  </mergeCells>
  <pageMargins left="0.7" right="0.7" top="0.75" bottom="0.75" header="0.3" footer="0.3"/>
  <pageSetup paperSize="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17"/>
  <sheetViews>
    <sheetView topLeftCell="G3" workbookViewId="0">
      <selection activeCell="L7" sqref="L7"/>
    </sheetView>
  </sheetViews>
  <sheetFormatPr defaultRowHeight="15" x14ac:dyDescent="0.25"/>
  <cols>
    <col min="1" max="1" width="5.7109375" customWidth="1"/>
    <col min="2" max="2" width="27.7109375" customWidth="1"/>
    <col min="3" max="14" width="20.7109375" customWidth="1"/>
  </cols>
  <sheetData>
    <row r="3" spans="1:14" x14ac:dyDescent="0.25">
      <c r="A3" s="63" t="s">
        <v>13</v>
      </c>
      <c r="B3" s="63" t="s">
        <v>0</v>
      </c>
      <c r="C3" s="63" t="s">
        <v>2</v>
      </c>
      <c r="D3" s="63"/>
      <c r="E3" s="63"/>
      <c r="F3" s="61" t="s">
        <v>6</v>
      </c>
      <c r="G3" s="61" t="s">
        <v>8</v>
      </c>
      <c r="H3" s="61" t="s">
        <v>9</v>
      </c>
      <c r="I3" s="61" t="s">
        <v>26</v>
      </c>
      <c r="J3" s="61" t="s">
        <v>29</v>
      </c>
      <c r="K3" s="61" t="s">
        <v>28</v>
      </c>
      <c r="L3" s="61" t="s">
        <v>27</v>
      </c>
      <c r="M3" s="61" t="s">
        <v>30</v>
      </c>
      <c r="N3" s="61" t="s">
        <v>31</v>
      </c>
    </row>
    <row r="4" spans="1:14" x14ac:dyDescent="0.25">
      <c r="A4" s="63"/>
      <c r="B4" s="63"/>
      <c r="C4" s="20" t="s">
        <v>3</v>
      </c>
      <c r="D4" s="20" t="s">
        <v>4</v>
      </c>
      <c r="E4" s="20" t="s">
        <v>5</v>
      </c>
      <c r="F4" s="62"/>
      <c r="G4" s="62"/>
      <c r="H4" s="62"/>
      <c r="I4" s="62"/>
      <c r="J4" s="62"/>
      <c r="K4" s="62"/>
      <c r="L4" s="62"/>
      <c r="M4" s="62"/>
      <c r="N4" s="62"/>
    </row>
    <row r="5" spans="1:14" x14ac:dyDescent="0.25">
      <c r="A5" s="20">
        <v>1</v>
      </c>
      <c r="B5" s="22" t="s">
        <v>1</v>
      </c>
      <c r="C5" s="34"/>
      <c r="D5" s="34"/>
      <c r="E5" s="34"/>
      <c r="F5" s="34">
        <v>134116972.86</v>
      </c>
      <c r="G5" s="34"/>
      <c r="H5" s="43"/>
      <c r="I5" s="34"/>
      <c r="J5" s="34">
        <v>10717002</v>
      </c>
      <c r="K5" s="34">
        <v>8918000</v>
      </c>
      <c r="L5" s="34"/>
      <c r="M5" s="34"/>
      <c r="N5" s="44"/>
    </row>
    <row r="6" spans="1:14" x14ac:dyDescent="0.25">
      <c r="A6" s="20">
        <v>2</v>
      </c>
      <c r="B6" s="22" t="s">
        <v>14</v>
      </c>
      <c r="C6" s="35"/>
      <c r="D6" s="35"/>
      <c r="E6" s="35"/>
      <c r="F6" s="35">
        <v>4000000</v>
      </c>
      <c r="G6" s="35"/>
      <c r="H6" s="35"/>
      <c r="I6" s="35"/>
      <c r="J6" s="35">
        <v>24800900</v>
      </c>
      <c r="K6" s="35">
        <v>425000</v>
      </c>
      <c r="L6" s="35">
        <v>850000</v>
      </c>
      <c r="M6" s="35"/>
      <c r="N6" s="37">
        <v>23124995</v>
      </c>
    </row>
    <row r="7" spans="1:14" x14ac:dyDescent="0.25">
      <c r="A7" s="20">
        <v>3</v>
      </c>
      <c r="B7" s="22" t="s">
        <v>15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37"/>
    </row>
    <row r="8" spans="1:14" x14ac:dyDescent="0.25">
      <c r="A8" s="20">
        <v>4</v>
      </c>
      <c r="B8" s="22" t="s">
        <v>16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37"/>
    </row>
    <row r="9" spans="1:14" x14ac:dyDescent="0.25">
      <c r="A9" s="20">
        <v>5</v>
      </c>
      <c r="B9" s="22" t="s">
        <v>17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37"/>
    </row>
    <row r="10" spans="1:14" x14ac:dyDescent="0.25">
      <c r="A10" s="20">
        <v>6</v>
      </c>
      <c r="B10" s="22" t="s">
        <v>18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37"/>
    </row>
    <row r="11" spans="1:14" x14ac:dyDescent="0.25">
      <c r="A11" s="20">
        <v>7</v>
      </c>
      <c r="B11" s="22" t="s">
        <v>19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7"/>
    </row>
    <row r="12" spans="1:14" x14ac:dyDescent="0.25">
      <c r="A12" s="20">
        <v>8</v>
      </c>
      <c r="B12" s="22" t="s">
        <v>20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/>
    </row>
    <row r="13" spans="1:14" x14ac:dyDescent="0.25">
      <c r="A13" s="20">
        <v>9</v>
      </c>
      <c r="B13" s="22" t="s">
        <v>21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7"/>
    </row>
    <row r="14" spans="1:14" x14ac:dyDescent="0.25">
      <c r="A14" s="20">
        <v>10</v>
      </c>
      <c r="B14" s="22" t="s">
        <v>22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</row>
    <row r="15" spans="1:14" x14ac:dyDescent="0.25">
      <c r="A15" s="20">
        <v>11</v>
      </c>
      <c r="B15" s="22" t="s">
        <v>23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/>
    </row>
    <row r="16" spans="1:14" x14ac:dyDescent="0.25">
      <c r="A16" s="20">
        <v>12</v>
      </c>
      <c r="B16" s="22" t="s">
        <v>24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/>
    </row>
    <row r="17" spans="1:14" x14ac:dyDescent="0.25">
      <c r="A17" s="20">
        <v>13</v>
      </c>
      <c r="B17" s="22" t="s">
        <v>25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7"/>
    </row>
  </sheetData>
  <mergeCells count="12">
    <mergeCell ref="N3:N4"/>
    <mergeCell ref="A3:A4"/>
    <mergeCell ref="B3:B4"/>
    <mergeCell ref="C3:E3"/>
    <mergeCell ref="F3:F4"/>
    <mergeCell ref="G3:G4"/>
    <mergeCell ref="H3:H4"/>
    <mergeCell ref="I3:I4"/>
    <mergeCell ref="J3:J4"/>
    <mergeCell ref="K3:K4"/>
    <mergeCell ref="L3:L4"/>
    <mergeCell ref="M3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N29"/>
  <sheetViews>
    <sheetView workbookViewId="0">
      <selection activeCell="C8" sqref="C8"/>
    </sheetView>
  </sheetViews>
  <sheetFormatPr defaultRowHeight="15" x14ac:dyDescent="0.25"/>
  <cols>
    <col min="1" max="1" width="5.7109375" customWidth="1"/>
    <col min="2" max="2" width="27.7109375" customWidth="1"/>
    <col min="3" max="13" width="20.7109375" customWidth="1"/>
    <col min="14" max="14" width="15.7109375" style="1" customWidth="1"/>
  </cols>
  <sheetData>
    <row r="3" spans="1:14" x14ac:dyDescent="0.25">
      <c r="A3" s="58" t="s">
        <v>13</v>
      </c>
      <c r="B3" s="58" t="s">
        <v>0</v>
      </c>
      <c r="C3" s="58" t="s">
        <v>2</v>
      </c>
      <c r="D3" s="58"/>
      <c r="E3" s="58"/>
      <c r="F3" s="59" t="s">
        <v>6</v>
      </c>
      <c r="G3" s="59" t="s">
        <v>7</v>
      </c>
      <c r="H3" s="59" t="s">
        <v>8</v>
      </c>
      <c r="I3" s="59" t="s">
        <v>9</v>
      </c>
      <c r="J3" s="59" t="s">
        <v>10</v>
      </c>
      <c r="K3" s="59" t="s">
        <v>11</v>
      </c>
      <c r="L3" s="59" t="s">
        <v>12</v>
      </c>
      <c r="M3" s="59" t="s">
        <v>32</v>
      </c>
      <c r="N3" s="58" t="s">
        <v>34</v>
      </c>
    </row>
    <row r="4" spans="1:14" x14ac:dyDescent="0.25">
      <c r="A4" s="58"/>
      <c r="B4" s="58"/>
      <c r="C4" s="4" t="s">
        <v>3</v>
      </c>
      <c r="D4" s="4" t="s">
        <v>4</v>
      </c>
      <c r="E4" s="4" t="s">
        <v>5</v>
      </c>
      <c r="F4" s="60"/>
      <c r="G4" s="60"/>
      <c r="H4" s="60"/>
      <c r="I4" s="60"/>
      <c r="J4" s="60"/>
      <c r="K4" s="60"/>
      <c r="L4" s="60"/>
      <c r="M4" s="60"/>
      <c r="N4" s="58"/>
    </row>
    <row r="5" spans="1:14" x14ac:dyDescent="0.25">
      <c r="A5" s="4">
        <v>1</v>
      </c>
      <c r="B5" s="5" t="s">
        <v>1</v>
      </c>
      <c r="C5" s="8">
        <f>'Data Pemasukan'!C5</f>
        <v>8005000</v>
      </c>
      <c r="D5" s="8">
        <f>'Data Pemasukan'!D5</f>
        <v>9957500</v>
      </c>
      <c r="E5" s="8">
        <f>'Data Pemasukan'!E5</f>
        <v>1350939.79</v>
      </c>
      <c r="F5" s="8">
        <f>'Data Pemasukan'!F5</f>
        <v>0</v>
      </c>
      <c r="G5" s="8">
        <f>'Data Pemasukan'!G5</f>
        <v>77905995.120000005</v>
      </c>
      <c r="H5" s="8">
        <f>'Data Pemasukan'!H5</f>
        <v>7712437</v>
      </c>
      <c r="I5" s="8">
        <f>'Data Pemasukan'!I5</f>
        <v>50023533</v>
      </c>
      <c r="J5" s="8">
        <f>'Data Pemasukan'!J5</f>
        <v>18796564.949999999</v>
      </c>
      <c r="K5" s="8">
        <f>'Data Pemasukan'!K5</f>
        <v>0</v>
      </c>
      <c r="L5" s="8">
        <f>'Data Pemasukan'!L5</f>
        <v>0</v>
      </c>
      <c r="M5" s="8">
        <f>SUM(C5:L5)</f>
        <v>173751969.85999998</v>
      </c>
      <c r="N5" s="7" t="str">
        <f>IF(M5&lt;&gt;"-","OK","ERROR")</f>
        <v>OK</v>
      </c>
    </row>
    <row r="6" spans="1:14" x14ac:dyDescent="0.25">
      <c r="A6" s="4">
        <v>2</v>
      </c>
      <c r="B6" s="5" t="s">
        <v>14</v>
      </c>
      <c r="C6" s="8">
        <f>'Data Pemasukan'!C6</f>
        <v>0</v>
      </c>
      <c r="D6" s="8">
        <f>'Data Pemasukan'!D6</f>
        <v>0</v>
      </c>
      <c r="E6" s="8">
        <f>'Data Pemasukan'!E6</f>
        <v>0</v>
      </c>
      <c r="F6" s="8">
        <f>'Data Pemasukan'!F6</f>
        <v>0</v>
      </c>
      <c r="G6" s="8">
        <f>'Data Pemasukan'!G6</f>
        <v>0</v>
      </c>
      <c r="H6" s="8">
        <f>'Data Pemasukan'!H6</f>
        <v>0</v>
      </c>
      <c r="I6" s="8">
        <f>'Data Pemasukan'!I6</f>
        <v>0</v>
      </c>
      <c r="J6" s="8">
        <f>'Data Pemasukan'!J6</f>
        <v>0</v>
      </c>
      <c r="K6" s="8">
        <f>'Data Pemasukan'!K6</f>
        <v>31950900</v>
      </c>
      <c r="L6" s="8">
        <f>'Data Pemasukan'!L6</f>
        <v>1250000</v>
      </c>
      <c r="M6" s="8">
        <f>SUM(C6:L6)</f>
        <v>33200900</v>
      </c>
      <c r="N6" s="7" t="str">
        <f t="shared" ref="N6:N28" si="0">IF(M6&lt;&gt;"-","OK","ERROR")</f>
        <v>OK</v>
      </c>
    </row>
    <row r="7" spans="1:14" s="6" customFormat="1" x14ac:dyDescent="0.25">
      <c r="A7" s="64" t="s">
        <v>33</v>
      </c>
      <c r="B7" s="65"/>
      <c r="C7" s="9">
        <f>C5+C6</f>
        <v>8005000</v>
      </c>
      <c r="D7" s="9">
        <f>D5+D6</f>
        <v>9957500</v>
      </c>
      <c r="E7" s="9">
        <f t="shared" ref="E7:L7" si="1">E5+E6</f>
        <v>1350939.79</v>
      </c>
      <c r="F7" s="9">
        <f t="shared" si="1"/>
        <v>0</v>
      </c>
      <c r="G7" s="9">
        <f t="shared" si="1"/>
        <v>77905995.120000005</v>
      </c>
      <c r="H7" s="9">
        <f t="shared" si="1"/>
        <v>7712437</v>
      </c>
      <c r="I7" s="9">
        <f t="shared" si="1"/>
        <v>50023533</v>
      </c>
      <c r="J7" s="9">
        <f t="shared" si="1"/>
        <v>18796564.949999999</v>
      </c>
      <c r="K7" s="9">
        <f t="shared" si="1"/>
        <v>31950900</v>
      </c>
      <c r="L7" s="9">
        <f t="shared" si="1"/>
        <v>1250000</v>
      </c>
      <c r="M7" s="9">
        <f>IF(SUM(C7:L7)=(M5+M6),M5+M6,"ERROR")</f>
        <v>206952869.85999998</v>
      </c>
      <c r="N7" s="7" t="str">
        <f>IF(M7="ERROR",M6-L7,"OK")</f>
        <v>OK</v>
      </c>
    </row>
    <row r="8" spans="1:14" x14ac:dyDescent="0.25">
      <c r="A8" s="4">
        <v>3</v>
      </c>
      <c r="B8" s="5" t="s">
        <v>15</v>
      </c>
      <c r="C8" s="8"/>
      <c r="D8" s="8">
        <f>'Data Pemasukan'!D7</f>
        <v>0</v>
      </c>
      <c r="E8" s="8">
        <f>'Data Pemasukan'!E7</f>
        <v>0</v>
      </c>
      <c r="F8" s="8">
        <f>'Data Pemasukan'!F7</f>
        <v>0</v>
      </c>
      <c r="G8" s="8">
        <f>'Data Pemasukan'!G7</f>
        <v>0</v>
      </c>
      <c r="H8" s="8">
        <f>'Data Pemasukan'!H7</f>
        <v>0</v>
      </c>
      <c r="I8" s="8">
        <f>'Data Pemasukan'!I7</f>
        <v>0</v>
      </c>
      <c r="J8" s="8">
        <f>'Data Pemasukan'!J7</f>
        <v>0</v>
      </c>
      <c r="K8" s="8">
        <f>'Data Pemasukan'!K7</f>
        <v>0</v>
      </c>
      <c r="L8" s="8">
        <f>'Data Pemasukan'!L7</f>
        <v>0</v>
      </c>
      <c r="M8" s="8">
        <f t="shared" ref="M8:M18" si="2">SUM(C8:L8)</f>
        <v>0</v>
      </c>
      <c r="N8" s="7" t="str">
        <f t="shared" si="0"/>
        <v>OK</v>
      </c>
    </row>
    <row r="9" spans="1:14" s="6" customFormat="1" x14ac:dyDescent="0.25">
      <c r="A9" s="64" t="s">
        <v>33</v>
      </c>
      <c r="B9" s="65"/>
      <c r="C9" s="9">
        <f>C7+C8</f>
        <v>8005000</v>
      </c>
      <c r="D9" s="9">
        <f t="shared" ref="D9:L9" si="3">D7+D8</f>
        <v>9957500</v>
      </c>
      <c r="E9" s="9">
        <f t="shared" si="3"/>
        <v>1350939.79</v>
      </c>
      <c r="F9" s="9">
        <f t="shared" si="3"/>
        <v>0</v>
      </c>
      <c r="G9" s="9">
        <f t="shared" si="3"/>
        <v>77905995.120000005</v>
      </c>
      <c r="H9" s="9">
        <f t="shared" si="3"/>
        <v>7712437</v>
      </c>
      <c r="I9" s="9">
        <f t="shared" si="3"/>
        <v>50023533</v>
      </c>
      <c r="J9" s="9">
        <f t="shared" si="3"/>
        <v>18796564.949999999</v>
      </c>
      <c r="K9" s="9">
        <f t="shared" si="3"/>
        <v>31950900</v>
      </c>
      <c r="L9" s="9">
        <f t="shared" si="3"/>
        <v>1250000</v>
      </c>
      <c r="M9" s="9">
        <f>IF(SUM(C9:L9)=(M7+M8),M7+M8,"ERROR")</f>
        <v>206952869.85999998</v>
      </c>
      <c r="N9" s="7" t="str">
        <f>IF(M9="ERROR",M8-L9,"OK")</f>
        <v>OK</v>
      </c>
    </row>
    <row r="10" spans="1:14" x14ac:dyDescent="0.25">
      <c r="A10" s="4">
        <v>4</v>
      </c>
      <c r="B10" s="5" t="s">
        <v>16</v>
      </c>
      <c r="C10" s="8">
        <f>'Data Pemasukan'!C8</f>
        <v>0</v>
      </c>
      <c r="D10" s="8">
        <f>'Data Pemasukan'!D8</f>
        <v>0</v>
      </c>
      <c r="E10" s="8">
        <f>'Data Pemasukan'!E8</f>
        <v>0</v>
      </c>
      <c r="F10" s="8">
        <f>'Data Pemasukan'!F8</f>
        <v>0</v>
      </c>
      <c r="G10" s="8">
        <f>'Data Pemasukan'!G8</f>
        <v>0</v>
      </c>
      <c r="H10" s="8">
        <f>'Data Pemasukan'!H8</f>
        <v>0</v>
      </c>
      <c r="I10" s="8">
        <f>'Data Pemasukan'!I8</f>
        <v>0</v>
      </c>
      <c r="J10" s="8">
        <f>'Data Pemasukan'!J8</f>
        <v>0</v>
      </c>
      <c r="K10" s="8">
        <f>'Data Pemasukan'!K8</f>
        <v>0</v>
      </c>
      <c r="L10" s="8">
        <f>'Data Pemasukan'!L8</f>
        <v>0</v>
      </c>
      <c r="M10" s="8">
        <f t="shared" si="2"/>
        <v>0</v>
      </c>
      <c r="N10" s="7" t="str">
        <f t="shared" si="0"/>
        <v>OK</v>
      </c>
    </row>
    <row r="11" spans="1:14" s="6" customFormat="1" x14ac:dyDescent="0.25">
      <c r="A11" s="64" t="s">
        <v>33</v>
      </c>
      <c r="B11" s="65"/>
      <c r="C11" s="9">
        <f>C9+C10</f>
        <v>8005000</v>
      </c>
      <c r="D11" s="9">
        <f t="shared" ref="D11:L11" si="4">D9+D10</f>
        <v>9957500</v>
      </c>
      <c r="E11" s="9">
        <f t="shared" si="4"/>
        <v>1350939.79</v>
      </c>
      <c r="F11" s="9">
        <f t="shared" si="4"/>
        <v>0</v>
      </c>
      <c r="G11" s="9">
        <f t="shared" si="4"/>
        <v>77905995.120000005</v>
      </c>
      <c r="H11" s="9">
        <f t="shared" si="4"/>
        <v>7712437</v>
      </c>
      <c r="I11" s="9">
        <f t="shared" si="4"/>
        <v>50023533</v>
      </c>
      <c r="J11" s="9">
        <f t="shared" si="4"/>
        <v>18796564.949999999</v>
      </c>
      <c r="K11" s="9">
        <f t="shared" si="4"/>
        <v>31950900</v>
      </c>
      <c r="L11" s="9">
        <f t="shared" si="4"/>
        <v>1250000</v>
      </c>
      <c r="M11" s="9">
        <f>IF(SUM(C11:L11)=(M9+M10),M9+M10,"ERROR")</f>
        <v>206952869.85999998</v>
      </c>
      <c r="N11" s="7" t="str">
        <f>IF(M11="ERROR",M10-L11,"OK")</f>
        <v>OK</v>
      </c>
    </row>
    <row r="12" spans="1:14" x14ac:dyDescent="0.25">
      <c r="A12" s="4">
        <v>5</v>
      </c>
      <c r="B12" s="5" t="s">
        <v>17</v>
      </c>
      <c r="C12" s="8">
        <f>'Data Pemasukan'!C9</f>
        <v>0</v>
      </c>
      <c r="D12" s="8">
        <f>'Data Pemasukan'!D9</f>
        <v>0</v>
      </c>
      <c r="E12" s="8">
        <f>'Data Pemasukan'!E9</f>
        <v>0</v>
      </c>
      <c r="F12" s="8">
        <f>'Data Pemasukan'!F9</f>
        <v>0</v>
      </c>
      <c r="G12" s="8">
        <f>'Data Pemasukan'!G9</f>
        <v>0</v>
      </c>
      <c r="H12" s="8">
        <f>'Data Pemasukan'!H9</f>
        <v>0</v>
      </c>
      <c r="I12" s="8">
        <f>'Data Pemasukan'!I9</f>
        <v>0</v>
      </c>
      <c r="J12" s="8">
        <f>'Data Pemasukan'!J9</f>
        <v>0</v>
      </c>
      <c r="K12" s="8">
        <f>'Data Pemasukan'!K9</f>
        <v>0</v>
      </c>
      <c r="L12" s="8">
        <f>'Data Pemasukan'!L9</f>
        <v>0</v>
      </c>
      <c r="M12" s="8">
        <f t="shared" si="2"/>
        <v>0</v>
      </c>
      <c r="N12" s="7" t="str">
        <f t="shared" si="0"/>
        <v>OK</v>
      </c>
    </row>
    <row r="13" spans="1:14" s="6" customFormat="1" x14ac:dyDescent="0.25">
      <c r="A13" s="64" t="s">
        <v>33</v>
      </c>
      <c r="B13" s="65"/>
      <c r="C13" s="9">
        <f t="shared" ref="C13:L13" si="5">C11+C12</f>
        <v>8005000</v>
      </c>
      <c r="D13" s="9">
        <f t="shared" si="5"/>
        <v>9957500</v>
      </c>
      <c r="E13" s="9">
        <f t="shared" si="5"/>
        <v>1350939.79</v>
      </c>
      <c r="F13" s="9">
        <f t="shared" si="5"/>
        <v>0</v>
      </c>
      <c r="G13" s="9">
        <f t="shared" si="5"/>
        <v>77905995.120000005</v>
      </c>
      <c r="H13" s="9">
        <f t="shared" si="5"/>
        <v>7712437</v>
      </c>
      <c r="I13" s="9">
        <f t="shared" si="5"/>
        <v>50023533</v>
      </c>
      <c r="J13" s="9">
        <f t="shared" si="5"/>
        <v>18796564.949999999</v>
      </c>
      <c r="K13" s="9">
        <f t="shared" si="5"/>
        <v>31950900</v>
      </c>
      <c r="L13" s="9">
        <f t="shared" si="5"/>
        <v>1250000</v>
      </c>
      <c r="M13" s="9">
        <f>IF(SUM(C13:L13)=(M11+M12),M11+M12,"ERROR")</f>
        <v>206952869.85999998</v>
      </c>
      <c r="N13" s="7" t="str">
        <f>IF(M13="ERROR",M12-L13,"OK")</f>
        <v>OK</v>
      </c>
    </row>
    <row r="14" spans="1:14" x14ac:dyDescent="0.25">
      <c r="A14" s="4">
        <v>6</v>
      </c>
      <c r="B14" s="5" t="s">
        <v>18</v>
      </c>
      <c r="C14" s="8">
        <f>'Data Pemasukan'!C10</f>
        <v>0</v>
      </c>
      <c r="D14" s="8">
        <f>'Data Pemasukan'!D10</f>
        <v>0</v>
      </c>
      <c r="E14" s="8">
        <f>'Data Pemasukan'!E10</f>
        <v>0</v>
      </c>
      <c r="F14" s="8">
        <f>'Data Pemasukan'!F10</f>
        <v>0</v>
      </c>
      <c r="G14" s="8">
        <f>'Data Pemasukan'!G10</f>
        <v>0</v>
      </c>
      <c r="H14" s="8">
        <f>'Data Pemasukan'!H10</f>
        <v>0</v>
      </c>
      <c r="I14" s="8">
        <f>'Data Pemasukan'!I10</f>
        <v>0</v>
      </c>
      <c r="J14" s="8">
        <f>'Data Pemasukan'!J10</f>
        <v>0</v>
      </c>
      <c r="K14" s="8">
        <f>'Data Pemasukan'!K10</f>
        <v>0</v>
      </c>
      <c r="L14" s="8">
        <f>'Data Pemasukan'!L10</f>
        <v>0</v>
      </c>
      <c r="M14" s="8">
        <f t="shared" si="2"/>
        <v>0</v>
      </c>
      <c r="N14" s="7" t="str">
        <f t="shared" si="0"/>
        <v>OK</v>
      </c>
    </row>
    <row r="15" spans="1:14" s="6" customFormat="1" x14ac:dyDescent="0.25">
      <c r="A15" s="64" t="s">
        <v>33</v>
      </c>
      <c r="B15" s="65"/>
      <c r="C15" s="9">
        <f t="shared" ref="C15:L15" si="6">C13+C14</f>
        <v>8005000</v>
      </c>
      <c r="D15" s="9">
        <f t="shared" si="6"/>
        <v>9957500</v>
      </c>
      <c r="E15" s="9">
        <f t="shared" si="6"/>
        <v>1350939.79</v>
      </c>
      <c r="F15" s="9">
        <f t="shared" si="6"/>
        <v>0</v>
      </c>
      <c r="G15" s="9">
        <f t="shared" si="6"/>
        <v>77905995.120000005</v>
      </c>
      <c r="H15" s="9">
        <f t="shared" si="6"/>
        <v>7712437</v>
      </c>
      <c r="I15" s="9">
        <f t="shared" si="6"/>
        <v>50023533</v>
      </c>
      <c r="J15" s="9">
        <f t="shared" si="6"/>
        <v>18796564.949999999</v>
      </c>
      <c r="K15" s="9">
        <f t="shared" si="6"/>
        <v>31950900</v>
      </c>
      <c r="L15" s="9">
        <f t="shared" si="6"/>
        <v>1250000</v>
      </c>
      <c r="M15" s="9">
        <f>IF(SUM(C15:L15)=(M13+M14),M13+M14,"ERROR")</f>
        <v>206952869.85999998</v>
      </c>
      <c r="N15" s="7" t="str">
        <f>IF(M15="ERROR",M14-L15,"OK")</f>
        <v>OK</v>
      </c>
    </row>
    <row r="16" spans="1:14" x14ac:dyDescent="0.25">
      <c r="A16" s="4">
        <v>7</v>
      </c>
      <c r="B16" s="5" t="s">
        <v>19</v>
      </c>
      <c r="C16" s="8">
        <f>'Data Pemasukan'!C11</f>
        <v>0</v>
      </c>
      <c r="D16" s="8">
        <f>'Data Pemasukan'!D11</f>
        <v>0</v>
      </c>
      <c r="E16" s="8">
        <f>'Data Pemasukan'!E11</f>
        <v>0</v>
      </c>
      <c r="F16" s="8">
        <f>'Data Pemasukan'!F11</f>
        <v>0</v>
      </c>
      <c r="G16" s="8">
        <f>'Data Pemasukan'!G11</f>
        <v>0</v>
      </c>
      <c r="H16" s="8">
        <f>'Data Pemasukan'!H11</f>
        <v>0</v>
      </c>
      <c r="I16" s="8">
        <f>'Data Pemasukan'!I11</f>
        <v>0</v>
      </c>
      <c r="J16" s="8">
        <f>'Data Pemasukan'!J11</f>
        <v>0</v>
      </c>
      <c r="K16" s="8">
        <f>'Data Pemasukan'!K11</f>
        <v>0</v>
      </c>
      <c r="L16" s="8">
        <f>'Data Pemasukan'!L15</f>
        <v>0</v>
      </c>
      <c r="M16" s="8">
        <f t="shared" si="2"/>
        <v>0</v>
      </c>
      <c r="N16" s="7" t="str">
        <f t="shared" si="0"/>
        <v>OK</v>
      </c>
    </row>
    <row r="17" spans="1:14" s="6" customFormat="1" x14ac:dyDescent="0.25">
      <c r="A17" s="64" t="s">
        <v>33</v>
      </c>
      <c r="B17" s="65"/>
      <c r="C17" s="9">
        <f t="shared" ref="C17:L17" si="7">C15+C16</f>
        <v>8005000</v>
      </c>
      <c r="D17" s="9">
        <f t="shared" si="7"/>
        <v>9957500</v>
      </c>
      <c r="E17" s="9">
        <f t="shared" si="7"/>
        <v>1350939.79</v>
      </c>
      <c r="F17" s="9">
        <f t="shared" si="7"/>
        <v>0</v>
      </c>
      <c r="G17" s="9">
        <f t="shared" si="7"/>
        <v>77905995.120000005</v>
      </c>
      <c r="H17" s="9">
        <f t="shared" si="7"/>
        <v>7712437</v>
      </c>
      <c r="I17" s="9">
        <f t="shared" si="7"/>
        <v>50023533</v>
      </c>
      <c r="J17" s="9">
        <f t="shared" si="7"/>
        <v>18796564.949999999</v>
      </c>
      <c r="K17" s="9">
        <f t="shared" si="7"/>
        <v>31950900</v>
      </c>
      <c r="L17" s="9">
        <f t="shared" si="7"/>
        <v>1250000</v>
      </c>
      <c r="M17" s="9">
        <f>IF(SUM(C17:L17)=(M15+M16),M15+M16,"ERROR")</f>
        <v>206952869.85999998</v>
      </c>
      <c r="N17" s="7" t="str">
        <f>IF(M17="ERROR",M16-L17,"OK")</f>
        <v>OK</v>
      </c>
    </row>
    <row r="18" spans="1:14" x14ac:dyDescent="0.25">
      <c r="A18" s="4">
        <v>8</v>
      </c>
      <c r="B18" s="5" t="s">
        <v>20</v>
      </c>
      <c r="C18" s="8">
        <f>'Data Pemasukan'!C12</f>
        <v>0</v>
      </c>
      <c r="D18" s="8">
        <f>'Data Pemasukan'!D12</f>
        <v>0</v>
      </c>
      <c r="E18" s="8">
        <f>'Data Pemasukan'!E12</f>
        <v>0</v>
      </c>
      <c r="F18" s="8">
        <f>'Data Pemasukan'!F12</f>
        <v>0</v>
      </c>
      <c r="G18" s="8">
        <f>'Data Pemasukan'!G12</f>
        <v>0</v>
      </c>
      <c r="H18" s="8">
        <f>'Data Pemasukan'!H12</f>
        <v>0</v>
      </c>
      <c r="I18" s="8">
        <f>'Data Pemasukan'!I12</f>
        <v>0</v>
      </c>
      <c r="J18" s="8">
        <f>'Data Pemasukan'!J12</f>
        <v>0</v>
      </c>
      <c r="K18" s="8">
        <f>'Data Pemasukan'!K12</f>
        <v>0</v>
      </c>
      <c r="L18" s="8">
        <f>'Data Pemasukan'!L12</f>
        <v>0</v>
      </c>
      <c r="M18" s="8">
        <f t="shared" si="2"/>
        <v>0</v>
      </c>
      <c r="N18" s="7" t="str">
        <f t="shared" si="0"/>
        <v>OK</v>
      </c>
    </row>
    <row r="19" spans="1:14" s="6" customFormat="1" x14ac:dyDescent="0.25">
      <c r="A19" s="64" t="s">
        <v>33</v>
      </c>
      <c r="B19" s="65"/>
      <c r="C19" s="9">
        <f t="shared" ref="C19:L19" si="8">C17+C18</f>
        <v>8005000</v>
      </c>
      <c r="D19" s="9">
        <f t="shared" si="8"/>
        <v>9957500</v>
      </c>
      <c r="E19" s="9">
        <f t="shared" si="8"/>
        <v>1350939.79</v>
      </c>
      <c r="F19" s="9">
        <f t="shared" si="8"/>
        <v>0</v>
      </c>
      <c r="G19" s="9">
        <f t="shared" si="8"/>
        <v>77905995.120000005</v>
      </c>
      <c r="H19" s="9">
        <f t="shared" si="8"/>
        <v>7712437</v>
      </c>
      <c r="I19" s="9">
        <f t="shared" si="8"/>
        <v>50023533</v>
      </c>
      <c r="J19" s="9">
        <f t="shared" si="8"/>
        <v>18796564.949999999</v>
      </c>
      <c r="K19" s="9">
        <f t="shared" si="8"/>
        <v>31950900</v>
      </c>
      <c r="L19" s="9">
        <f t="shared" si="8"/>
        <v>1250000</v>
      </c>
      <c r="M19" s="9">
        <f>IF(SUM(C19:L19)=(M17+M18),M17+M18,"ERROR")</f>
        <v>206952869.85999998</v>
      </c>
      <c r="N19" s="7" t="str">
        <f>IF(M19="ERROR",M18-L19,"OK")</f>
        <v>OK</v>
      </c>
    </row>
    <row r="20" spans="1:14" x14ac:dyDescent="0.25">
      <c r="A20" s="4">
        <v>9</v>
      </c>
      <c r="B20" s="5" t="s">
        <v>21</v>
      </c>
      <c r="C20" s="8">
        <f>'Data Pemasukan'!C13</f>
        <v>0</v>
      </c>
      <c r="D20" s="8">
        <f>'Data Pemasukan'!D13</f>
        <v>0</v>
      </c>
      <c r="E20" s="8">
        <f>'Data Pemasukan'!E13</f>
        <v>0</v>
      </c>
      <c r="F20" s="8">
        <f>'Data Pemasukan'!F13</f>
        <v>0</v>
      </c>
      <c r="G20" s="8">
        <f>'Data Pemasukan'!G13</f>
        <v>0</v>
      </c>
      <c r="H20" s="8">
        <f>'Data Pemasukan'!H13</f>
        <v>0</v>
      </c>
      <c r="I20" s="8">
        <f>'Data Pemasukan'!I13</f>
        <v>0</v>
      </c>
      <c r="J20" s="8">
        <f>'Data Pemasukan'!J13</f>
        <v>0</v>
      </c>
      <c r="K20" s="8">
        <f>'Data Pemasukan'!K13</f>
        <v>0</v>
      </c>
      <c r="L20" s="8">
        <f>'Data Pemasukan'!L13</f>
        <v>0</v>
      </c>
      <c r="M20" s="8">
        <f>SUM(C20:L20)</f>
        <v>0</v>
      </c>
      <c r="N20" s="7" t="str">
        <f t="shared" si="0"/>
        <v>OK</v>
      </c>
    </row>
    <row r="21" spans="1:14" s="6" customFormat="1" x14ac:dyDescent="0.25">
      <c r="A21" s="64" t="s">
        <v>33</v>
      </c>
      <c r="B21" s="65"/>
      <c r="C21" s="9">
        <f t="shared" ref="C21:L21" si="9">C19+C20</f>
        <v>8005000</v>
      </c>
      <c r="D21" s="9">
        <f t="shared" si="9"/>
        <v>9957500</v>
      </c>
      <c r="E21" s="9">
        <f t="shared" si="9"/>
        <v>1350939.79</v>
      </c>
      <c r="F21" s="9">
        <f t="shared" si="9"/>
        <v>0</v>
      </c>
      <c r="G21" s="9">
        <f t="shared" si="9"/>
        <v>77905995.120000005</v>
      </c>
      <c r="H21" s="9">
        <f t="shared" si="9"/>
        <v>7712437</v>
      </c>
      <c r="I21" s="9">
        <f t="shared" si="9"/>
        <v>50023533</v>
      </c>
      <c r="J21" s="9">
        <f t="shared" si="9"/>
        <v>18796564.949999999</v>
      </c>
      <c r="K21" s="9">
        <f t="shared" si="9"/>
        <v>31950900</v>
      </c>
      <c r="L21" s="9">
        <f t="shared" si="9"/>
        <v>1250000</v>
      </c>
      <c r="M21" s="9">
        <f>IF(SUM(C21:L21)=(M19+M20),M19+M20,"ERROR")</f>
        <v>206952869.85999998</v>
      </c>
      <c r="N21" s="7" t="str">
        <f>IF(M21="ERROR",M20-L21,"OK")</f>
        <v>OK</v>
      </c>
    </row>
    <row r="22" spans="1:14" x14ac:dyDescent="0.25">
      <c r="A22" s="4">
        <v>10</v>
      </c>
      <c r="B22" s="5" t="s">
        <v>22</v>
      </c>
      <c r="C22" s="8">
        <f>'Data Pemasukan'!C14</f>
        <v>0</v>
      </c>
      <c r="D22" s="8">
        <f>'Data Pemasukan'!D14</f>
        <v>0</v>
      </c>
      <c r="E22" s="8">
        <f>'Data Pemasukan'!E14</f>
        <v>0</v>
      </c>
      <c r="F22" s="8">
        <f>'Data Pemasukan'!F14</f>
        <v>0</v>
      </c>
      <c r="G22" s="8">
        <f>'Data Pemasukan'!G14</f>
        <v>0</v>
      </c>
      <c r="H22" s="8">
        <f>'Data Pemasukan'!H14</f>
        <v>0</v>
      </c>
      <c r="I22" s="8">
        <f>'Data Pemasukan'!I14</f>
        <v>0</v>
      </c>
      <c r="J22" s="8">
        <f>'Data Pemasukan'!J14</f>
        <v>0</v>
      </c>
      <c r="K22" s="8">
        <f>'Data Pemasukan'!K14</f>
        <v>0</v>
      </c>
      <c r="L22" s="8">
        <f>'Data Pemasukan'!L14</f>
        <v>0</v>
      </c>
      <c r="M22" s="8">
        <f>SUM(C22:L22)</f>
        <v>0</v>
      </c>
      <c r="N22" s="7" t="str">
        <f t="shared" si="0"/>
        <v>OK</v>
      </c>
    </row>
    <row r="23" spans="1:14" s="6" customFormat="1" x14ac:dyDescent="0.25">
      <c r="A23" s="64" t="s">
        <v>33</v>
      </c>
      <c r="B23" s="65"/>
      <c r="C23" s="9">
        <f t="shared" ref="C23:L23" si="10">C21+C22</f>
        <v>8005000</v>
      </c>
      <c r="D23" s="9">
        <f t="shared" si="10"/>
        <v>9957500</v>
      </c>
      <c r="E23" s="9">
        <f t="shared" si="10"/>
        <v>1350939.79</v>
      </c>
      <c r="F23" s="9">
        <f t="shared" si="10"/>
        <v>0</v>
      </c>
      <c r="G23" s="9">
        <f t="shared" si="10"/>
        <v>77905995.120000005</v>
      </c>
      <c r="H23" s="9">
        <f t="shared" si="10"/>
        <v>7712437</v>
      </c>
      <c r="I23" s="9">
        <f t="shared" si="10"/>
        <v>50023533</v>
      </c>
      <c r="J23" s="9">
        <f t="shared" si="10"/>
        <v>18796564.949999999</v>
      </c>
      <c r="K23" s="9">
        <f t="shared" si="10"/>
        <v>31950900</v>
      </c>
      <c r="L23" s="9">
        <f t="shared" si="10"/>
        <v>1250000</v>
      </c>
      <c r="M23" s="9">
        <f>IF(SUM(C23:L23)=(M21+M22),M21+M22,"ERROR")</f>
        <v>206952869.85999998</v>
      </c>
      <c r="N23" s="7" t="str">
        <f>IF(M23="ERROR",M22-L23,"OK")</f>
        <v>OK</v>
      </c>
    </row>
    <row r="24" spans="1:14" x14ac:dyDescent="0.25">
      <c r="A24" s="4">
        <v>11</v>
      </c>
      <c r="B24" s="5" t="s">
        <v>23</v>
      </c>
      <c r="C24" s="8">
        <f>'Data Pemasukan'!C15</f>
        <v>0</v>
      </c>
      <c r="D24" s="8">
        <f>'Data Pemasukan'!D15</f>
        <v>0</v>
      </c>
      <c r="E24" s="8">
        <f>'Data Pemasukan'!E15</f>
        <v>0</v>
      </c>
      <c r="F24" s="8">
        <f>'Data Pemasukan'!F15</f>
        <v>0</v>
      </c>
      <c r="G24" s="8">
        <f>'Data Pemasukan'!G15</f>
        <v>0</v>
      </c>
      <c r="H24" s="8">
        <f>'Data Pemasukan'!H15</f>
        <v>0</v>
      </c>
      <c r="I24" s="8">
        <f>'Data Pemasukan'!I15</f>
        <v>0</v>
      </c>
      <c r="J24" s="8">
        <f>'Data Pemasukan'!J15</f>
        <v>0</v>
      </c>
      <c r="K24" s="8">
        <f>'Data Pemasukan'!K15</f>
        <v>0</v>
      </c>
      <c r="L24" s="8">
        <f>'Data Pemasukan'!L15</f>
        <v>0</v>
      </c>
      <c r="M24" s="8">
        <f>SUM(C24:L24)</f>
        <v>0</v>
      </c>
      <c r="N24" s="7" t="str">
        <f t="shared" si="0"/>
        <v>OK</v>
      </c>
    </row>
    <row r="25" spans="1:14" s="6" customFormat="1" x14ac:dyDescent="0.25">
      <c r="A25" s="64" t="s">
        <v>33</v>
      </c>
      <c r="B25" s="65"/>
      <c r="C25" s="9">
        <f t="shared" ref="C25:L25" si="11">C23+C24</f>
        <v>8005000</v>
      </c>
      <c r="D25" s="9">
        <f t="shared" si="11"/>
        <v>9957500</v>
      </c>
      <c r="E25" s="9">
        <f t="shared" si="11"/>
        <v>1350939.79</v>
      </c>
      <c r="F25" s="9">
        <f t="shared" si="11"/>
        <v>0</v>
      </c>
      <c r="G25" s="9">
        <f t="shared" si="11"/>
        <v>77905995.120000005</v>
      </c>
      <c r="H25" s="9">
        <f t="shared" si="11"/>
        <v>7712437</v>
      </c>
      <c r="I25" s="9">
        <f t="shared" si="11"/>
        <v>50023533</v>
      </c>
      <c r="J25" s="9">
        <f t="shared" si="11"/>
        <v>18796564.949999999</v>
      </c>
      <c r="K25" s="9">
        <f t="shared" si="11"/>
        <v>31950900</v>
      </c>
      <c r="L25" s="9">
        <f t="shared" si="11"/>
        <v>1250000</v>
      </c>
      <c r="M25" s="9">
        <f>IF(SUM(C25:L25)=(M23+M24),M23+M24,"ERROR")</f>
        <v>206952869.85999998</v>
      </c>
      <c r="N25" s="7" t="str">
        <f>IF(M25="ERROR",M24-L25,"OK")</f>
        <v>OK</v>
      </c>
    </row>
    <row r="26" spans="1:14" x14ac:dyDescent="0.25">
      <c r="A26" s="4">
        <v>12</v>
      </c>
      <c r="B26" s="5" t="s">
        <v>24</v>
      </c>
      <c r="C26" s="8">
        <f>'Data Pemasukan'!C16</f>
        <v>0</v>
      </c>
      <c r="D26" s="8">
        <f>'Data Pemasukan'!D16</f>
        <v>0</v>
      </c>
      <c r="E26" s="8">
        <f>'Data Pemasukan'!E16</f>
        <v>0</v>
      </c>
      <c r="F26" s="8">
        <f>'Data Pemasukan'!F16</f>
        <v>0</v>
      </c>
      <c r="G26" s="8">
        <f>'Data Pemasukan'!G16</f>
        <v>0</v>
      </c>
      <c r="H26" s="8">
        <f>'Data Pemasukan'!H16</f>
        <v>0</v>
      </c>
      <c r="I26" s="8">
        <f>'Data Pemasukan'!I16</f>
        <v>0</v>
      </c>
      <c r="J26" s="8">
        <f>'Data Pemasukan'!J16</f>
        <v>0</v>
      </c>
      <c r="K26" s="8">
        <f>'Data Pemasukan'!K16</f>
        <v>0</v>
      </c>
      <c r="L26" s="8">
        <f>'Data Pemasukan'!L16</f>
        <v>0</v>
      </c>
      <c r="M26" s="8">
        <f>SUM(C26:L26)</f>
        <v>0</v>
      </c>
      <c r="N26" s="7" t="str">
        <f t="shared" si="0"/>
        <v>OK</v>
      </c>
    </row>
    <row r="27" spans="1:14" s="6" customFormat="1" x14ac:dyDescent="0.25">
      <c r="A27" s="64" t="s">
        <v>33</v>
      </c>
      <c r="B27" s="65"/>
      <c r="C27" s="9">
        <f t="shared" ref="C27:L27" si="12">C25+C26</f>
        <v>8005000</v>
      </c>
      <c r="D27" s="9">
        <f t="shared" si="12"/>
        <v>9957500</v>
      </c>
      <c r="E27" s="9">
        <f t="shared" si="12"/>
        <v>1350939.79</v>
      </c>
      <c r="F27" s="9">
        <f t="shared" si="12"/>
        <v>0</v>
      </c>
      <c r="G27" s="9">
        <f t="shared" si="12"/>
        <v>77905995.120000005</v>
      </c>
      <c r="H27" s="9">
        <f t="shared" si="12"/>
        <v>7712437</v>
      </c>
      <c r="I27" s="9">
        <f t="shared" si="12"/>
        <v>50023533</v>
      </c>
      <c r="J27" s="9">
        <f t="shared" si="12"/>
        <v>18796564.949999999</v>
      </c>
      <c r="K27" s="9">
        <f t="shared" si="12"/>
        <v>31950900</v>
      </c>
      <c r="L27" s="9">
        <f t="shared" si="12"/>
        <v>1250000</v>
      </c>
      <c r="M27" s="9">
        <f>IF(SUM(C27:L27)=(M25+M26),M25+M26,"ERROR")</f>
        <v>206952869.85999998</v>
      </c>
      <c r="N27" s="7" t="str">
        <f>IF(M27="ERROR",M26-L27,"OK")</f>
        <v>OK</v>
      </c>
    </row>
    <row r="28" spans="1:14" x14ac:dyDescent="0.25">
      <c r="A28" s="4">
        <v>13</v>
      </c>
      <c r="B28" s="5" t="s">
        <v>25</v>
      </c>
      <c r="C28" s="8">
        <f>'Data Pemasukan'!C17</f>
        <v>0</v>
      </c>
      <c r="D28" s="8">
        <f>'Data Pemasukan'!D17</f>
        <v>0</v>
      </c>
      <c r="E28" s="8">
        <f>'Data Pemasukan'!E17</f>
        <v>0</v>
      </c>
      <c r="F28" s="8">
        <f>'Data Pemasukan'!F17</f>
        <v>0</v>
      </c>
      <c r="G28" s="8">
        <f>'Data Pemasukan'!G17</f>
        <v>0</v>
      </c>
      <c r="H28" s="8">
        <f>'Data Pemasukan'!H17</f>
        <v>0</v>
      </c>
      <c r="I28" s="8">
        <f>'Data Pemasukan'!I17</f>
        <v>0</v>
      </c>
      <c r="J28" s="8">
        <f>'Data Pemasukan'!J17</f>
        <v>0</v>
      </c>
      <c r="K28" s="8">
        <f>'Data Pemasukan'!K17</f>
        <v>0</v>
      </c>
      <c r="L28" s="8">
        <f>'Data Pemasukan'!L17</f>
        <v>0</v>
      </c>
      <c r="M28" s="8">
        <f>SUM(C28:L28)</f>
        <v>0</v>
      </c>
      <c r="N28" s="7" t="str">
        <f t="shared" si="0"/>
        <v>OK</v>
      </c>
    </row>
    <row r="29" spans="1:14" s="6" customFormat="1" x14ac:dyDescent="0.25">
      <c r="A29" s="64" t="s">
        <v>33</v>
      </c>
      <c r="B29" s="65"/>
      <c r="C29" s="9">
        <f t="shared" ref="C29:L29" si="13">C27+C28</f>
        <v>8005000</v>
      </c>
      <c r="D29" s="9">
        <f t="shared" si="13"/>
        <v>9957500</v>
      </c>
      <c r="E29" s="9">
        <f t="shared" si="13"/>
        <v>1350939.79</v>
      </c>
      <c r="F29" s="9">
        <f t="shared" si="13"/>
        <v>0</v>
      </c>
      <c r="G29" s="9">
        <f t="shared" si="13"/>
        <v>77905995.120000005</v>
      </c>
      <c r="H29" s="9">
        <f t="shared" si="13"/>
        <v>7712437</v>
      </c>
      <c r="I29" s="9">
        <f t="shared" si="13"/>
        <v>50023533</v>
      </c>
      <c r="J29" s="9">
        <f t="shared" si="13"/>
        <v>18796564.949999999</v>
      </c>
      <c r="K29" s="9">
        <f t="shared" si="13"/>
        <v>31950900</v>
      </c>
      <c r="L29" s="9">
        <f t="shared" si="13"/>
        <v>1250000</v>
      </c>
      <c r="M29" s="9">
        <f>IF(SUM(C29:L29)=(M27+M28),M27+M28,"ERROR")</f>
        <v>206952869.85999998</v>
      </c>
      <c r="N29" s="7" t="str">
        <f>IF(M29="ERROR",M28-L29,"OK")</f>
        <v>OK</v>
      </c>
    </row>
  </sheetData>
  <mergeCells count="24">
    <mergeCell ref="A17:B17"/>
    <mergeCell ref="A19:B19"/>
    <mergeCell ref="I3:I4"/>
    <mergeCell ref="J3:J4"/>
    <mergeCell ref="K3:K4"/>
    <mergeCell ref="A7:B7"/>
    <mergeCell ref="A3:A4"/>
    <mergeCell ref="B3:B4"/>
    <mergeCell ref="C3:E3"/>
    <mergeCell ref="F3:F4"/>
    <mergeCell ref="G3:G4"/>
    <mergeCell ref="H3:H4"/>
    <mergeCell ref="N3:N4"/>
    <mergeCell ref="A9:B9"/>
    <mergeCell ref="A11:B11"/>
    <mergeCell ref="A13:B13"/>
    <mergeCell ref="A15:B15"/>
    <mergeCell ref="L3:L4"/>
    <mergeCell ref="M3:M4"/>
    <mergeCell ref="A21:B21"/>
    <mergeCell ref="A23:B23"/>
    <mergeCell ref="A25:B25"/>
    <mergeCell ref="A27:B27"/>
    <mergeCell ref="A29:B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O29"/>
  <sheetViews>
    <sheetView topLeftCell="J1" workbookViewId="0">
      <selection activeCell="N29" sqref="N29"/>
    </sheetView>
  </sheetViews>
  <sheetFormatPr defaultRowHeight="15" x14ac:dyDescent="0.25"/>
  <cols>
    <col min="1" max="1" width="5.7109375" customWidth="1"/>
    <col min="2" max="2" width="27.7109375" customWidth="1"/>
    <col min="3" max="13" width="20.7109375" customWidth="1"/>
    <col min="14" max="14" width="25.7109375" customWidth="1"/>
    <col min="15" max="15" width="15.7109375" style="1" customWidth="1"/>
  </cols>
  <sheetData>
    <row r="3" spans="1:15" x14ac:dyDescent="0.25">
      <c r="A3" s="58" t="s">
        <v>13</v>
      </c>
      <c r="B3" s="58" t="s">
        <v>0</v>
      </c>
      <c r="C3" s="58" t="s">
        <v>2</v>
      </c>
      <c r="D3" s="58"/>
      <c r="E3" s="58"/>
      <c r="F3" s="59" t="s">
        <v>6</v>
      </c>
      <c r="G3" s="59" t="s">
        <v>8</v>
      </c>
      <c r="H3" s="59" t="s">
        <v>9</v>
      </c>
      <c r="I3" s="59" t="s">
        <v>26</v>
      </c>
      <c r="J3" s="59" t="s">
        <v>29</v>
      </c>
      <c r="K3" s="59" t="s">
        <v>28</v>
      </c>
      <c r="L3" s="59" t="s">
        <v>27</v>
      </c>
      <c r="M3" s="59" t="s">
        <v>30</v>
      </c>
      <c r="N3" s="59" t="s">
        <v>35</v>
      </c>
      <c r="O3" s="58" t="s">
        <v>34</v>
      </c>
    </row>
    <row r="4" spans="1:15" x14ac:dyDescent="0.25">
      <c r="A4" s="58"/>
      <c r="B4" s="58"/>
      <c r="C4" s="4" t="s">
        <v>3</v>
      </c>
      <c r="D4" s="4" t="s">
        <v>4</v>
      </c>
      <c r="E4" s="4" t="s">
        <v>5</v>
      </c>
      <c r="F4" s="60"/>
      <c r="G4" s="60"/>
      <c r="H4" s="60"/>
      <c r="I4" s="60"/>
      <c r="J4" s="60"/>
      <c r="K4" s="60"/>
      <c r="L4" s="60"/>
      <c r="M4" s="60"/>
      <c r="N4" s="60"/>
      <c r="O4" s="58"/>
    </row>
    <row r="5" spans="1:15" x14ac:dyDescent="0.25">
      <c r="A5" s="4">
        <v>1</v>
      </c>
      <c r="B5" s="5" t="s">
        <v>1</v>
      </c>
      <c r="C5" s="10">
        <f>'Data Pengeluaran'!C5</f>
        <v>0</v>
      </c>
      <c r="D5" s="10">
        <f>'Data Pengeluaran'!D5</f>
        <v>0</v>
      </c>
      <c r="E5" s="10">
        <f>'Data Pengeluaran'!E5</f>
        <v>0</v>
      </c>
      <c r="F5" s="10">
        <f>'Data Pengeluaran'!F5</f>
        <v>134116972.86</v>
      </c>
      <c r="G5" s="10">
        <f>'Data Pengeluaran'!G5</f>
        <v>0</v>
      </c>
      <c r="H5" s="10">
        <f>'Data Pengeluaran'!H5</f>
        <v>0</v>
      </c>
      <c r="I5" s="10">
        <f>'Data Pengeluaran'!I5</f>
        <v>0</v>
      </c>
      <c r="J5" s="10">
        <f>'Data Pengeluaran'!J5</f>
        <v>10717002</v>
      </c>
      <c r="K5" s="10">
        <f>'Data Pengeluaran'!K5</f>
        <v>8918000</v>
      </c>
      <c r="L5" s="10">
        <f>'Data Pengeluaran'!L5</f>
        <v>0</v>
      </c>
      <c r="M5" s="10">
        <f>'Data Pengeluaran'!M5</f>
        <v>0</v>
      </c>
      <c r="N5" s="10">
        <f>SUM(C5:M5)</f>
        <v>153751974.86000001</v>
      </c>
      <c r="O5" s="11" t="str">
        <f>IF(N5&lt;&gt;"0","OK","ERROR")</f>
        <v>OK</v>
      </c>
    </row>
    <row r="6" spans="1:15" x14ac:dyDescent="0.25">
      <c r="A6" s="4">
        <v>2</v>
      </c>
      <c r="B6" s="5" t="s">
        <v>14</v>
      </c>
      <c r="C6" s="10">
        <f>'Data Pengeluaran'!C6</f>
        <v>0</v>
      </c>
      <c r="D6" s="10">
        <f>'Data Pengeluaran'!D6</f>
        <v>0</v>
      </c>
      <c r="E6" s="10">
        <f>'Data Pengeluaran'!E6</f>
        <v>0</v>
      </c>
      <c r="F6" s="10">
        <f>'Data Pengeluaran'!F6</f>
        <v>4000000</v>
      </c>
      <c r="G6" s="10">
        <f>'Data Pengeluaran'!G6</f>
        <v>0</v>
      </c>
      <c r="H6" s="10">
        <f>'Data Pengeluaran'!H6</f>
        <v>0</v>
      </c>
      <c r="I6" s="10">
        <f>'Data Pengeluaran'!I6</f>
        <v>0</v>
      </c>
      <c r="J6" s="33">
        <f>'Data Pengeluaran'!J6</f>
        <v>24800900</v>
      </c>
      <c r="K6" s="10">
        <f>'Data Pengeluaran'!K6</f>
        <v>425000</v>
      </c>
      <c r="L6" s="10">
        <f>'Data Pengeluaran'!L6</f>
        <v>850000</v>
      </c>
      <c r="M6" s="10">
        <f>'Data Pengeluaran'!M6</f>
        <v>0</v>
      </c>
      <c r="N6" s="10">
        <f t="shared" ref="N6:N28" si="0">SUM(C6:M6)</f>
        <v>30075900</v>
      </c>
      <c r="O6" s="11" t="str">
        <f t="shared" ref="O6:O28" si="1">IF(N6&lt;&gt;"0","OK","ERROR")</f>
        <v>OK</v>
      </c>
    </row>
    <row r="7" spans="1:15" s="6" customFormat="1" x14ac:dyDescent="0.25">
      <c r="A7" s="64" t="s">
        <v>33</v>
      </c>
      <c r="B7" s="65"/>
      <c r="C7" s="12">
        <f>C5+C6</f>
        <v>0</v>
      </c>
      <c r="D7" s="12">
        <f t="shared" ref="D7:M7" si="2">D5+D6</f>
        <v>0</v>
      </c>
      <c r="E7" s="12">
        <f t="shared" si="2"/>
        <v>0</v>
      </c>
      <c r="F7" s="12">
        <f t="shared" si="2"/>
        <v>138116972.86000001</v>
      </c>
      <c r="G7" s="12">
        <f t="shared" si="2"/>
        <v>0</v>
      </c>
      <c r="H7" s="12">
        <f t="shared" si="2"/>
        <v>0</v>
      </c>
      <c r="I7" s="12">
        <f t="shared" si="2"/>
        <v>0</v>
      </c>
      <c r="J7" s="12">
        <f t="shared" si="2"/>
        <v>35517902</v>
      </c>
      <c r="K7" s="12">
        <f t="shared" si="2"/>
        <v>9343000</v>
      </c>
      <c r="L7" s="12">
        <f t="shared" si="2"/>
        <v>850000</v>
      </c>
      <c r="M7" s="12">
        <f t="shared" si="2"/>
        <v>0</v>
      </c>
      <c r="N7" s="10">
        <f>IF(SUM(C7:M7)=(N5+N6),N5+N6,"ERROR")</f>
        <v>183827874.86000001</v>
      </c>
      <c r="O7" s="11" t="str">
        <f>IF(N7="ERROR",N6-M7,"OK")</f>
        <v>OK</v>
      </c>
    </row>
    <row r="8" spans="1:15" x14ac:dyDescent="0.25">
      <c r="A8" s="4">
        <v>3</v>
      </c>
      <c r="B8" s="5" t="s">
        <v>15</v>
      </c>
      <c r="C8" s="10">
        <f>'Data Pengeluaran'!C7</f>
        <v>0</v>
      </c>
      <c r="D8" s="10">
        <f>'Data Pengeluaran'!D7</f>
        <v>0</v>
      </c>
      <c r="E8" s="10">
        <f>'Data Pengeluaran'!E7</f>
        <v>0</v>
      </c>
      <c r="F8" s="10">
        <f>'Data Pengeluaran'!F7</f>
        <v>0</v>
      </c>
      <c r="G8" s="10">
        <f>'Data Pengeluaran'!G7</f>
        <v>0</v>
      </c>
      <c r="H8" s="10">
        <f>'Data Pengeluaran'!H7</f>
        <v>0</v>
      </c>
      <c r="I8" s="10">
        <f>'Data Pengeluaran'!I7</f>
        <v>0</v>
      </c>
      <c r="J8" s="10">
        <f>'Data Pengeluaran'!J7</f>
        <v>0</v>
      </c>
      <c r="K8" s="10">
        <f>'Data Pengeluaran'!K7</f>
        <v>0</v>
      </c>
      <c r="L8" s="10">
        <f>'Data Pengeluaran'!L7</f>
        <v>0</v>
      </c>
      <c r="M8" s="10">
        <f>'Data Pengeluaran'!M7</f>
        <v>0</v>
      </c>
      <c r="N8" s="10">
        <f t="shared" si="0"/>
        <v>0</v>
      </c>
      <c r="O8" s="11" t="str">
        <f t="shared" si="1"/>
        <v>OK</v>
      </c>
    </row>
    <row r="9" spans="1:15" s="6" customFormat="1" x14ac:dyDescent="0.25">
      <c r="A9" s="64" t="s">
        <v>33</v>
      </c>
      <c r="B9" s="65"/>
      <c r="C9" s="12">
        <f>C7+C8</f>
        <v>0</v>
      </c>
      <c r="D9" s="12">
        <f t="shared" ref="D9:M9" si="3">D7+D8</f>
        <v>0</v>
      </c>
      <c r="E9" s="12">
        <f t="shared" si="3"/>
        <v>0</v>
      </c>
      <c r="F9" s="12">
        <f t="shared" si="3"/>
        <v>138116972.86000001</v>
      </c>
      <c r="G9" s="12">
        <f t="shared" si="3"/>
        <v>0</v>
      </c>
      <c r="H9" s="12">
        <f t="shared" si="3"/>
        <v>0</v>
      </c>
      <c r="I9" s="12">
        <f t="shared" si="3"/>
        <v>0</v>
      </c>
      <c r="J9" s="12">
        <f t="shared" si="3"/>
        <v>35517902</v>
      </c>
      <c r="K9" s="12">
        <f t="shared" si="3"/>
        <v>9343000</v>
      </c>
      <c r="L9" s="12">
        <f t="shared" si="3"/>
        <v>850000</v>
      </c>
      <c r="M9" s="12">
        <f t="shared" si="3"/>
        <v>0</v>
      </c>
      <c r="N9" s="10">
        <f>IF(SUM(C9:M9)=(N7+N8),N7+N8,"ERROR")</f>
        <v>183827874.86000001</v>
      </c>
      <c r="O9" s="11" t="str">
        <f>IF(N9="ERROR",N8-M9,"OK")</f>
        <v>OK</v>
      </c>
    </row>
    <row r="10" spans="1:15" x14ac:dyDescent="0.25">
      <c r="A10" s="4">
        <v>4</v>
      </c>
      <c r="B10" s="5" t="s">
        <v>16</v>
      </c>
      <c r="C10" s="10">
        <f>'Data Pengeluaran'!C8</f>
        <v>0</v>
      </c>
      <c r="D10" s="10">
        <f>'Data Pengeluaran'!D8</f>
        <v>0</v>
      </c>
      <c r="E10" s="10">
        <f>'Data Pengeluaran'!E8</f>
        <v>0</v>
      </c>
      <c r="F10" s="10">
        <f>'Data Pengeluaran'!F8</f>
        <v>0</v>
      </c>
      <c r="G10" s="10">
        <f>'Data Pengeluaran'!G8</f>
        <v>0</v>
      </c>
      <c r="H10" s="10">
        <f>'Data Pengeluaran'!H8</f>
        <v>0</v>
      </c>
      <c r="I10" s="10">
        <f>'Data Pengeluaran'!I8</f>
        <v>0</v>
      </c>
      <c r="J10" s="10">
        <f>'Data Pengeluaran'!J8</f>
        <v>0</v>
      </c>
      <c r="K10" s="10">
        <f>'Data Pengeluaran'!K8</f>
        <v>0</v>
      </c>
      <c r="L10" s="10">
        <f>'Data Pengeluaran'!L8</f>
        <v>0</v>
      </c>
      <c r="M10" s="10">
        <f>'Data Pengeluaran'!M8</f>
        <v>0</v>
      </c>
      <c r="N10" s="10">
        <f t="shared" si="0"/>
        <v>0</v>
      </c>
      <c r="O10" s="11" t="str">
        <f t="shared" si="1"/>
        <v>OK</v>
      </c>
    </row>
    <row r="11" spans="1:15" s="6" customFormat="1" x14ac:dyDescent="0.25">
      <c r="A11" s="64" t="s">
        <v>33</v>
      </c>
      <c r="B11" s="65"/>
      <c r="C11" s="12">
        <f t="shared" ref="C11:M11" si="4">C9+C10</f>
        <v>0</v>
      </c>
      <c r="D11" s="12">
        <f t="shared" si="4"/>
        <v>0</v>
      </c>
      <c r="E11" s="12">
        <f t="shared" si="4"/>
        <v>0</v>
      </c>
      <c r="F11" s="12">
        <f t="shared" si="4"/>
        <v>138116972.86000001</v>
      </c>
      <c r="G11" s="12">
        <f t="shared" si="4"/>
        <v>0</v>
      </c>
      <c r="H11" s="12">
        <f t="shared" si="4"/>
        <v>0</v>
      </c>
      <c r="I11" s="12">
        <f t="shared" si="4"/>
        <v>0</v>
      </c>
      <c r="J11" s="12">
        <f t="shared" si="4"/>
        <v>35517902</v>
      </c>
      <c r="K11" s="12">
        <f t="shared" si="4"/>
        <v>9343000</v>
      </c>
      <c r="L11" s="12">
        <f t="shared" si="4"/>
        <v>850000</v>
      </c>
      <c r="M11" s="12">
        <f t="shared" si="4"/>
        <v>0</v>
      </c>
      <c r="N11" s="10">
        <f>IF(SUM(C11:M11)=(N9+N10),N9+N10,"ERROR")</f>
        <v>183827874.86000001</v>
      </c>
      <c r="O11" s="11" t="str">
        <f>IF(N11="ERROR",N10-M11,"OK")</f>
        <v>OK</v>
      </c>
    </row>
    <row r="12" spans="1:15" x14ac:dyDescent="0.25">
      <c r="A12" s="4">
        <v>5</v>
      </c>
      <c r="B12" s="5" t="s">
        <v>17</v>
      </c>
      <c r="C12" s="10">
        <f>'Data Pengeluaran'!C9</f>
        <v>0</v>
      </c>
      <c r="D12" s="10">
        <f>'Data Pengeluaran'!D9</f>
        <v>0</v>
      </c>
      <c r="E12" s="10">
        <f>'Data Pengeluaran'!E9</f>
        <v>0</v>
      </c>
      <c r="F12" s="10">
        <f>'Data Pengeluaran'!F9</f>
        <v>0</v>
      </c>
      <c r="G12" s="10">
        <f>'Data Pengeluaran'!G9</f>
        <v>0</v>
      </c>
      <c r="H12" s="10">
        <f>'Data Pengeluaran'!H9</f>
        <v>0</v>
      </c>
      <c r="I12" s="10">
        <f>'Data Pengeluaran'!I9</f>
        <v>0</v>
      </c>
      <c r="J12" s="10">
        <f>'Data Pengeluaran'!J9</f>
        <v>0</v>
      </c>
      <c r="K12" s="10">
        <f>'Data Pengeluaran'!K9</f>
        <v>0</v>
      </c>
      <c r="L12" s="10">
        <f>'Data Pengeluaran'!L9</f>
        <v>0</v>
      </c>
      <c r="M12" s="10">
        <f>'Data Pengeluaran'!M9</f>
        <v>0</v>
      </c>
      <c r="N12" s="10">
        <f t="shared" si="0"/>
        <v>0</v>
      </c>
      <c r="O12" s="11" t="str">
        <f t="shared" si="1"/>
        <v>OK</v>
      </c>
    </row>
    <row r="13" spans="1:15" s="6" customFormat="1" x14ac:dyDescent="0.25">
      <c r="A13" s="64" t="s">
        <v>33</v>
      </c>
      <c r="B13" s="65"/>
      <c r="C13" s="12">
        <f t="shared" ref="C13:M13" si="5">C11+C12</f>
        <v>0</v>
      </c>
      <c r="D13" s="12">
        <f t="shared" si="5"/>
        <v>0</v>
      </c>
      <c r="E13" s="12">
        <f t="shared" si="5"/>
        <v>0</v>
      </c>
      <c r="F13" s="12">
        <f t="shared" si="5"/>
        <v>138116972.86000001</v>
      </c>
      <c r="G13" s="12">
        <f t="shared" si="5"/>
        <v>0</v>
      </c>
      <c r="H13" s="12">
        <f t="shared" si="5"/>
        <v>0</v>
      </c>
      <c r="I13" s="12">
        <f t="shared" si="5"/>
        <v>0</v>
      </c>
      <c r="J13" s="12">
        <f t="shared" si="5"/>
        <v>35517902</v>
      </c>
      <c r="K13" s="12">
        <f t="shared" si="5"/>
        <v>9343000</v>
      </c>
      <c r="L13" s="12">
        <f t="shared" si="5"/>
        <v>850000</v>
      </c>
      <c r="M13" s="12">
        <f t="shared" si="5"/>
        <v>0</v>
      </c>
      <c r="N13" s="10">
        <f>IF(SUM(C13:M13)=(N11+N12),N11+N12,"ERROR")</f>
        <v>183827874.86000001</v>
      </c>
      <c r="O13" s="11" t="str">
        <f>IF(N13="ERROR",N12-M13,"OK")</f>
        <v>OK</v>
      </c>
    </row>
    <row r="14" spans="1:15" x14ac:dyDescent="0.25">
      <c r="A14" s="4">
        <v>6</v>
      </c>
      <c r="B14" s="5" t="s">
        <v>18</v>
      </c>
      <c r="C14" s="10">
        <f>'Data Pengeluaran'!C10</f>
        <v>0</v>
      </c>
      <c r="D14" s="10">
        <f>'Data Pengeluaran'!D10</f>
        <v>0</v>
      </c>
      <c r="E14" s="10">
        <f>'Data Pengeluaran'!E10</f>
        <v>0</v>
      </c>
      <c r="F14" s="10">
        <f>'Data Pengeluaran'!F10</f>
        <v>0</v>
      </c>
      <c r="G14" s="10">
        <f>'Data Pengeluaran'!G10</f>
        <v>0</v>
      </c>
      <c r="H14" s="10">
        <f>'Data Pengeluaran'!H10</f>
        <v>0</v>
      </c>
      <c r="I14" s="10">
        <f>'Data Pengeluaran'!I10</f>
        <v>0</v>
      </c>
      <c r="J14" s="10">
        <f>'Data Pengeluaran'!J10</f>
        <v>0</v>
      </c>
      <c r="K14" s="10">
        <f>'Data Pengeluaran'!K10</f>
        <v>0</v>
      </c>
      <c r="L14" s="10">
        <f>'Data Pengeluaran'!L10</f>
        <v>0</v>
      </c>
      <c r="M14" s="10">
        <f>'Data Pengeluaran'!M10</f>
        <v>0</v>
      </c>
      <c r="N14" s="10">
        <f t="shared" si="0"/>
        <v>0</v>
      </c>
      <c r="O14" s="11" t="str">
        <f t="shared" si="1"/>
        <v>OK</v>
      </c>
    </row>
    <row r="15" spans="1:15" s="6" customFormat="1" x14ac:dyDescent="0.25">
      <c r="A15" s="64" t="s">
        <v>33</v>
      </c>
      <c r="B15" s="65"/>
      <c r="C15" s="12">
        <f t="shared" ref="C15:M15" si="6">C13+C14</f>
        <v>0</v>
      </c>
      <c r="D15" s="12">
        <f t="shared" si="6"/>
        <v>0</v>
      </c>
      <c r="E15" s="12">
        <f t="shared" si="6"/>
        <v>0</v>
      </c>
      <c r="F15" s="12">
        <f t="shared" si="6"/>
        <v>138116972.86000001</v>
      </c>
      <c r="G15" s="12">
        <f t="shared" si="6"/>
        <v>0</v>
      </c>
      <c r="H15" s="12">
        <f t="shared" si="6"/>
        <v>0</v>
      </c>
      <c r="I15" s="12">
        <f t="shared" si="6"/>
        <v>0</v>
      </c>
      <c r="J15" s="12">
        <f t="shared" si="6"/>
        <v>35517902</v>
      </c>
      <c r="K15" s="12">
        <f t="shared" si="6"/>
        <v>9343000</v>
      </c>
      <c r="L15" s="12">
        <f t="shared" si="6"/>
        <v>850000</v>
      </c>
      <c r="M15" s="12">
        <f t="shared" si="6"/>
        <v>0</v>
      </c>
      <c r="N15" s="10">
        <f>IF(SUM(C15:M15)=(N13+N14),N13+N14,"ERROR")</f>
        <v>183827874.86000001</v>
      </c>
      <c r="O15" s="11" t="str">
        <f>IF(N15="ERROR",N14-M15,"OK")</f>
        <v>OK</v>
      </c>
    </row>
    <row r="16" spans="1:15" x14ac:dyDescent="0.25">
      <c r="A16" s="4">
        <v>7</v>
      </c>
      <c r="B16" s="5" t="s">
        <v>19</v>
      </c>
      <c r="C16" s="10">
        <f>'Data Pengeluaran'!C11</f>
        <v>0</v>
      </c>
      <c r="D16" s="10">
        <f>'Data Pengeluaran'!D15</f>
        <v>0</v>
      </c>
      <c r="E16" s="10">
        <f>'Data Pengeluaran'!E15</f>
        <v>0</v>
      </c>
      <c r="F16" s="10">
        <f>'Data Pengeluaran'!F11</f>
        <v>0</v>
      </c>
      <c r="G16" s="10">
        <f>'Data Pengeluaran'!G15</f>
        <v>0</v>
      </c>
      <c r="H16" s="10">
        <f>'Data Pengeluaran'!H15</f>
        <v>0</v>
      </c>
      <c r="I16" s="10">
        <f>'Data Pengeluaran'!I15</f>
        <v>0</v>
      </c>
      <c r="J16" s="10">
        <f>'Data Pengeluaran'!J11</f>
        <v>0</v>
      </c>
      <c r="K16" s="10">
        <f>'Data Pengeluaran'!K15</f>
        <v>0</v>
      </c>
      <c r="L16" s="10">
        <f>'Data Pengeluaran'!L11</f>
        <v>0</v>
      </c>
      <c r="M16" s="10">
        <f>'Data Pengeluaran'!M15</f>
        <v>0</v>
      </c>
      <c r="N16" s="10">
        <f t="shared" si="0"/>
        <v>0</v>
      </c>
      <c r="O16" s="11" t="str">
        <f t="shared" si="1"/>
        <v>OK</v>
      </c>
    </row>
    <row r="17" spans="1:15" s="6" customFormat="1" x14ac:dyDescent="0.25">
      <c r="A17" s="64" t="s">
        <v>33</v>
      </c>
      <c r="B17" s="65"/>
      <c r="C17" s="12">
        <f t="shared" ref="C17:M17" si="7">C15+C16</f>
        <v>0</v>
      </c>
      <c r="D17" s="12">
        <f t="shared" si="7"/>
        <v>0</v>
      </c>
      <c r="E17" s="12">
        <f t="shared" si="7"/>
        <v>0</v>
      </c>
      <c r="F17" s="12">
        <f t="shared" si="7"/>
        <v>138116972.86000001</v>
      </c>
      <c r="G17" s="12">
        <f t="shared" si="7"/>
        <v>0</v>
      </c>
      <c r="H17" s="12">
        <f t="shared" si="7"/>
        <v>0</v>
      </c>
      <c r="I17" s="12">
        <f t="shared" si="7"/>
        <v>0</v>
      </c>
      <c r="J17" s="12">
        <f t="shared" si="7"/>
        <v>35517902</v>
      </c>
      <c r="K17" s="12">
        <f t="shared" si="7"/>
        <v>9343000</v>
      </c>
      <c r="L17" s="12">
        <f t="shared" si="7"/>
        <v>850000</v>
      </c>
      <c r="M17" s="12">
        <f t="shared" si="7"/>
        <v>0</v>
      </c>
      <c r="N17" s="10">
        <f>IF(SUM(C17:M17)=(N15+N16),N15+N16,"ERROR")</f>
        <v>183827874.86000001</v>
      </c>
      <c r="O17" s="11" t="str">
        <f>IF(N17="ERROR",N16-M17,"OK")</f>
        <v>OK</v>
      </c>
    </row>
    <row r="18" spans="1:15" x14ac:dyDescent="0.25">
      <c r="A18" s="4">
        <v>8</v>
      </c>
      <c r="B18" s="5" t="s">
        <v>20</v>
      </c>
      <c r="C18" s="10">
        <f>'Data Pengeluaran'!C12</f>
        <v>0</v>
      </c>
      <c r="D18" s="10">
        <f>'Data Pengeluaran'!D17</f>
        <v>0</v>
      </c>
      <c r="E18" s="10">
        <f>'Data Pengeluaran'!E17</f>
        <v>0</v>
      </c>
      <c r="F18" s="10">
        <f>'Data Pengeluaran'!F12</f>
        <v>0</v>
      </c>
      <c r="G18" s="10">
        <f>'Data Pengeluaran'!G17</f>
        <v>0</v>
      </c>
      <c r="H18" s="10">
        <f>'Data Pengeluaran'!H17</f>
        <v>0</v>
      </c>
      <c r="I18" s="10">
        <f>'Data Pengeluaran'!I12</f>
        <v>0</v>
      </c>
      <c r="J18" s="10">
        <f>'Data Pengeluaran'!J12</f>
        <v>0</v>
      </c>
      <c r="K18" s="10">
        <f>'Data Pengeluaran'!K17</f>
        <v>0</v>
      </c>
      <c r="L18" s="10">
        <f>'Data Pengeluaran'!L12</f>
        <v>0</v>
      </c>
      <c r="M18" s="10">
        <f>'Data Pengeluaran'!M17</f>
        <v>0</v>
      </c>
      <c r="N18" s="10">
        <f t="shared" si="0"/>
        <v>0</v>
      </c>
      <c r="O18" s="11" t="str">
        <f t="shared" si="1"/>
        <v>OK</v>
      </c>
    </row>
    <row r="19" spans="1:15" s="6" customFormat="1" x14ac:dyDescent="0.25">
      <c r="A19" s="64" t="s">
        <v>33</v>
      </c>
      <c r="B19" s="65"/>
      <c r="C19" s="12">
        <f t="shared" ref="C19:M19" si="8">C17+C18</f>
        <v>0</v>
      </c>
      <c r="D19" s="12">
        <f t="shared" si="8"/>
        <v>0</v>
      </c>
      <c r="E19" s="12">
        <f t="shared" si="8"/>
        <v>0</v>
      </c>
      <c r="F19" s="12">
        <f t="shared" si="8"/>
        <v>138116972.86000001</v>
      </c>
      <c r="G19" s="12">
        <f t="shared" si="8"/>
        <v>0</v>
      </c>
      <c r="H19" s="12">
        <f t="shared" si="8"/>
        <v>0</v>
      </c>
      <c r="I19" s="12">
        <f t="shared" si="8"/>
        <v>0</v>
      </c>
      <c r="J19" s="12">
        <f t="shared" si="8"/>
        <v>35517902</v>
      </c>
      <c r="K19" s="12">
        <f t="shared" si="8"/>
        <v>9343000</v>
      </c>
      <c r="L19" s="12">
        <f t="shared" si="8"/>
        <v>850000</v>
      </c>
      <c r="M19" s="12">
        <f t="shared" si="8"/>
        <v>0</v>
      </c>
      <c r="N19" s="10">
        <f>IF(SUM(C19:M19)=(N17+N18),N17+N18,"ERROR")</f>
        <v>183827874.86000001</v>
      </c>
      <c r="O19" s="11" t="str">
        <f>IF(N19="ERROR",N18-M19,"OK")</f>
        <v>OK</v>
      </c>
    </row>
    <row r="20" spans="1:15" x14ac:dyDescent="0.25">
      <c r="A20" s="4">
        <v>9</v>
      </c>
      <c r="B20" s="5" t="s">
        <v>21</v>
      </c>
      <c r="C20" s="10">
        <f>'Data Pengeluaran'!C13</f>
        <v>0</v>
      </c>
      <c r="D20" s="10">
        <f>'Data Pengeluaran'!D13</f>
        <v>0</v>
      </c>
      <c r="E20" s="10">
        <f>'Data Pengeluaran'!E13</f>
        <v>0</v>
      </c>
      <c r="F20" s="10">
        <f>'Data Pengeluaran'!F13</f>
        <v>0</v>
      </c>
      <c r="G20" s="10">
        <f>'Data Pengeluaran'!G13</f>
        <v>0</v>
      </c>
      <c r="H20" s="10">
        <f>'Data Pengeluaran'!H13</f>
        <v>0</v>
      </c>
      <c r="I20" s="10">
        <f>'Data Pengeluaran'!I13</f>
        <v>0</v>
      </c>
      <c r="J20" s="10">
        <f>'Data Pengeluaran'!J13</f>
        <v>0</v>
      </c>
      <c r="K20" s="10">
        <f>'Data Pengeluaran'!K13</f>
        <v>0</v>
      </c>
      <c r="L20" s="10">
        <f>'Data Pengeluaran'!L13</f>
        <v>0</v>
      </c>
      <c r="M20" s="10">
        <f>'Data Pengeluaran'!M13</f>
        <v>0</v>
      </c>
      <c r="N20" s="10">
        <f t="shared" si="0"/>
        <v>0</v>
      </c>
      <c r="O20" s="11" t="str">
        <f t="shared" si="1"/>
        <v>OK</v>
      </c>
    </row>
    <row r="21" spans="1:15" s="6" customFormat="1" x14ac:dyDescent="0.25">
      <c r="A21" s="64" t="s">
        <v>33</v>
      </c>
      <c r="B21" s="65"/>
      <c r="C21" s="12">
        <f t="shared" ref="C21:M21" si="9">C19+C20</f>
        <v>0</v>
      </c>
      <c r="D21" s="12">
        <f t="shared" si="9"/>
        <v>0</v>
      </c>
      <c r="E21" s="12">
        <f t="shared" si="9"/>
        <v>0</v>
      </c>
      <c r="F21" s="12">
        <f t="shared" si="9"/>
        <v>138116972.86000001</v>
      </c>
      <c r="G21" s="12">
        <f t="shared" si="9"/>
        <v>0</v>
      </c>
      <c r="H21" s="12">
        <f t="shared" si="9"/>
        <v>0</v>
      </c>
      <c r="I21" s="12">
        <f t="shared" si="9"/>
        <v>0</v>
      </c>
      <c r="J21" s="12">
        <f t="shared" si="9"/>
        <v>35517902</v>
      </c>
      <c r="K21" s="12">
        <f t="shared" si="9"/>
        <v>9343000</v>
      </c>
      <c r="L21" s="12">
        <f t="shared" si="9"/>
        <v>850000</v>
      </c>
      <c r="M21" s="12">
        <f t="shared" si="9"/>
        <v>0</v>
      </c>
      <c r="N21" s="10">
        <f>IF(SUM(C21:M21)=(N19+N20),N19+N20,"ERROR")</f>
        <v>183827874.86000001</v>
      </c>
      <c r="O21" s="11" t="str">
        <f>IF(N21="ERROR",N20-M21,"OK")</f>
        <v>OK</v>
      </c>
    </row>
    <row r="22" spans="1:15" x14ac:dyDescent="0.25">
      <c r="A22" s="4">
        <v>10</v>
      </c>
      <c r="B22" s="5" t="s">
        <v>22</v>
      </c>
      <c r="C22" s="10">
        <f>'Data Pengeluaran'!C14</f>
        <v>0</v>
      </c>
      <c r="D22" s="10">
        <f>'Data Pengeluaran'!D14</f>
        <v>0</v>
      </c>
      <c r="E22" s="10">
        <f>'Data Pengeluaran'!E14</f>
        <v>0</v>
      </c>
      <c r="F22" s="10">
        <f>'Data Pengeluaran'!F14</f>
        <v>0</v>
      </c>
      <c r="G22" s="10">
        <f>'Data Pengeluaran'!G14</f>
        <v>0</v>
      </c>
      <c r="H22" s="10">
        <f>'Data Pengeluaran'!H14</f>
        <v>0</v>
      </c>
      <c r="I22" s="10">
        <f>'Data Pengeluaran'!I14</f>
        <v>0</v>
      </c>
      <c r="J22" s="39">
        <f>'Data Pengeluaran'!J14</f>
        <v>0</v>
      </c>
      <c r="K22" s="10">
        <f>'Data Pengeluaran'!K14</f>
        <v>0</v>
      </c>
      <c r="L22" s="10">
        <f>'Data Pengeluaran'!L14</f>
        <v>0</v>
      </c>
      <c r="M22" s="10">
        <f>'Data Pengeluaran'!M14</f>
        <v>0</v>
      </c>
      <c r="N22" s="10">
        <f t="shared" si="0"/>
        <v>0</v>
      </c>
      <c r="O22" s="11" t="str">
        <f t="shared" si="1"/>
        <v>OK</v>
      </c>
    </row>
    <row r="23" spans="1:15" s="6" customFormat="1" x14ac:dyDescent="0.25">
      <c r="A23" s="64" t="s">
        <v>33</v>
      </c>
      <c r="B23" s="65"/>
      <c r="C23" s="12">
        <f t="shared" ref="C23:M23" si="10">C21+C22</f>
        <v>0</v>
      </c>
      <c r="D23" s="12">
        <f t="shared" si="10"/>
        <v>0</v>
      </c>
      <c r="E23" s="12">
        <f t="shared" si="10"/>
        <v>0</v>
      </c>
      <c r="F23" s="12">
        <f t="shared" si="10"/>
        <v>138116972.86000001</v>
      </c>
      <c r="G23" s="12">
        <f t="shared" si="10"/>
        <v>0</v>
      </c>
      <c r="H23" s="12">
        <f t="shared" si="10"/>
        <v>0</v>
      </c>
      <c r="I23" s="12">
        <f t="shared" si="10"/>
        <v>0</v>
      </c>
      <c r="J23" s="12">
        <f t="shared" si="10"/>
        <v>35517902</v>
      </c>
      <c r="K23" s="12">
        <f t="shared" si="10"/>
        <v>9343000</v>
      </c>
      <c r="L23" s="12">
        <f t="shared" si="10"/>
        <v>850000</v>
      </c>
      <c r="M23" s="12">
        <f t="shared" si="10"/>
        <v>0</v>
      </c>
      <c r="N23" s="10">
        <f>IF(SUM(C23:M23)=(N21+N22),N21+N22,"ERROR")</f>
        <v>183827874.86000001</v>
      </c>
      <c r="O23" s="11" t="str">
        <f>IF(N23="ERROR",N22-M23,"OK")</f>
        <v>OK</v>
      </c>
    </row>
    <row r="24" spans="1:15" x14ac:dyDescent="0.25">
      <c r="A24" s="4">
        <v>11</v>
      </c>
      <c r="B24" s="5" t="s">
        <v>23</v>
      </c>
      <c r="C24" s="10">
        <f>'Data Pengeluaran'!C15</f>
        <v>0</v>
      </c>
      <c r="D24" s="10">
        <f>'Data Pengeluaran'!D15</f>
        <v>0</v>
      </c>
      <c r="E24" s="10">
        <f>'Data Pengeluaran'!E15</f>
        <v>0</v>
      </c>
      <c r="F24" s="10">
        <f>'Data Pengeluaran'!F15</f>
        <v>0</v>
      </c>
      <c r="G24" s="10">
        <f>'Data Pengeluaran'!G15</f>
        <v>0</v>
      </c>
      <c r="H24" s="10">
        <f>'Data Pengeluaran'!H15</f>
        <v>0</v>
      </c>
      <c r="I24" s="10">
        <f>'Data Pengeluaran'!I15</f>
        <v>0</v>
      </c>
      <c r="J24" s="10">
        <f>'Data Pengeluaran'!J15</f>
        <v>0</v>
      </c>
      <c r="K24" s="10">
        <f>'Data Pengeluaran'!K15</f>
        <v>0</v>
      </c>
      <c r="L24" s="10">
        <f>'Data Pengeluaran'!L15</f>
        <v>0</v>
      </c>
      <c r="M24" s="10">
        <f>'Data Pengeluaran'!M15</f>
        <v>0</v>
      </c>
      <c r="N24" s="10">
        <f t="shared" si="0"/>
        <v>0</v>
      </c>
      <c r="O24" s="11" t="str">
        <f t="shared" si="1"/>
        <v>OK</v>
      </c>
    </row>
    <row r="25" spans="1:15" s="6" customFormat="1" x14ac:dyDescent="0.25">
      <c r="A25" s="64" t="s">
        <v>33</v>
      </c>
      <c r="B25" s="65"/>
      <c r="C25" s="12">
        <f t="shared" ref="C25:M25" si="11">C23+C24</f>
        <v>0</v>
      </c>
      <c r="D25" s="12">
        <f t="shared" si="11"/>
        <v>0</v>
      </c>
      <c r="E25" s="12">
        <f t="shared" si="11"/>
        <v>0</v>
      </c>
      <c r="F25" s="12">
        <f t="shared" si="11"/>
        <v>138116972.86000001</v>
      </c>
      <c r="G25" s="12">
        <f t="shared" si="11"/>
        <v>0</v>
      </c>
      <c r="H25" s="12">
        <f t="shared" si="11"/>
        <v>0</v>
      </c>
      <c r="I25" s="12">
        <f t="shared" si="11"/>
        <v>0</v>
      </c>
      <c r="J25" s="12">
        <f t="shared" si="11"/>
        <v>35517902</v>
      </c>
      <c r="K25" s="12">
        <f t="shared" si="11"/>
        <v>9343000</v>
      </c>
      <c r="L25" s="12">
        <f t="shared" si="11"/>
        <v>850000</v>
      </c>
      <c r="M25" s="12">
        <f t="shared" si="11"/>
        <v>0</v>
      </c>
      <c r="N25" s="10">
        <f>IF(SUM(C25:M25)=(N23+N24),N23+N24,"ERROR")</f>
        <v>183827874.86000001</v>
      </c>
      <c r="O25" s="11" t="str">
        <f>IF(N25="ERROR",N24-M25,"OK")</f>
        <v>OK</v>
      </c>
    </row>
    <row r="26" spans="1:15" x14ac:dyDescent="0.25">
      <c r="A26" s="4">
        <v>12</v>
      </c>
      <c r="B26" s="5" t="s">
        <v>24</v>
      </c>
      <c r="C26" s="10">
        <f>'Data Pengeluaran'!C16</f>
        <v>0</v>
      </c>
      <c r="D26" s="10">
        <f>'Data Pengeluaran'!D16</f>
        <v>0</v>
      </c>
      <c r="E26" s="10">
        <f>'Data Pengeluaran'!E16</f>
        <v>0</v>
      </c>
      <c r="F26" s="10">
        <f>'Data Pengeluaran'!F16</f>
        <v>0</v>
      </c>
      <c r="G26" s="10">
        <f>'Data Pengeluaran'!G16</f>
        <v>0</v>
      </c>
      <c r="H26" s="10">
        <f>'Data Pengeluaran'!H16</f>
        <v>0</v>
      </c>
      <c r="I26" s="10">
        <f>'Data Pengeluaran'!I16</f>
        <v>0</v>
      </c>
      <c r="J26" s="10">
        <f>'Data Pengeluaran'!J16</f>
        <v>0</v>
      </c>
      <c r="K26" s="10">
        <f>'Data Pengeluaran'!K16</f>
        <v>0</v>
      </c>
      <c r="L26" s="10">
        <f>'Data Pengeluaran'!L16</f>
        <v>0</v>
      </c>
      <c r="M26" s="10">
        <f>'Data Pengeluaran'!M16</f>
        <v>0</v>
      </c>
      <c r="N26" s="10">
        <f t="shared" si="0"/>
        <v>0</v>
      </c>
      <c r="O26" s="11" t="str">
        <f t="shared" si="1"/>
        <v>OK</v>
      </c>
    </row>
    <row r="27" spans="1:15" s="6" customFormat="1" x14ac:dyDescent="0.25">
      <c r="A27" s="64" t="s">
        <v>33</v>
      </c>
      <c r="B27" s="65"/>
      <c r="C27" s="12">
        <f t="shared" ref="C27:M27" si="12">C25+C26</f>
        <v>0</v>
      </c>
      <c r="D27" s="12">
        <f t="shared" si="12"/>
        <v>0</v>
      </c>
      <c r="E27" s="12">
        <f t="shared" si="12"/>
        <v>0</v>
      </c>
      <c r="F27" s="12">
        <f t="shared" si="12"/>
        <v>138116972.86000001</v>
      </c>
      <c r="G27" s="12">
        <f t="shared" si="12"/>
        <v>0</v>
      </c>
      <c r="H27" s="12">
        <f t="shared" si="12"/>
        <v>0</v>
      </c>
      <c r="I27" s="12">
        <f t="shared" si="12"/>
        <v>0</v>
      </c>
      <c r="J27" s="12">
        <f t="shared" si="12"/>
        <v>35517902</v>
      </c>
      <c r="K27" s="12">
        <f t="shared" si="12"/>
        <v>9343000</v>
      </c>
      <c r="L27" s="12">
        <f t="shared" si="12"/>
        <v>850000</v>
      </c>
      <c r="M27" s="12">
        <f t="shared" si="12"/>
        <v>0</v>
      </c>
      <c r="N27" s="10">
        <f>IF(SUM(C27:M27)=(N25+N26),N25+N26,"ERROR")</f>
        <v>183827874.86000001</v>
      </c>
      <c r="O27" s="11" t="str">
        <f>IF(N27="ERROR",N26-M27,"OK")</f>
        <v>OK</v>
      </c>
    </row>
    <row r="28" spans="1:15" x14ac:dyDescent="0.25">
      <c r="A28" s="4">
        <v>13</v>
      </c>
      <c r="B28" s="5" t="s">
        <v>25</v>
      </c>
      <c r="C28" s="10">
        <f>'Data Pengeluaran'!C17</f>
        <v>0</v>
      </c>
      <c r="D28" s="10">
        <f>'Data Pengeluaran'!D17</f>
        <v>0</v>
      </c>
      <c r="E28" s="10">
        <f>'Data Pengeluaran'!E17</f>
        <v>0</v>
      </c>
      <c r="F28" s="10">
        <f>'Data Pengeluaran'!F17</f>
        <v>0</v>
      </c>
      <c r="G28" s="10">
        <f>'Data Pengeluaran'!G17</f>
        <v>0</v>
      </c>
      <c r="H28" s="10">
        <f>'Data Pengeluaran'!H17</f>
        <v>0</v>
      </c>
      <c r="I28" s="10">
        <f>'Data Pengeluaran'!I17</f>
        <v>0</v>
      </c>
      <c r="J28" s="10">
        <f>'Data Pengeluaran'!J17</f>
        <v>0</v>
      </c>
      <c r="K28" s="10">
        <f>'Data Pengeluaran'!K17</f>
        <v>0</v>
      </c>
      <c r="L28" s="10">
        <f>'Data Pengeluaran'!L17</f>
        <v>0</v>
      </c>
      <c r="M28" s="10">
        <f>'Data Pengeluaran'!M17</f>
        <v>0</v>
      </c>
      <c r="N28" s="10">
        <f t="shared" si="0"/>
        <v>0</v>
      </c>
      <c r="O28" s="11" t="str">
        <f t="shared" si="1"/>
        <v>OK</v>
      </c>
    </row>
    <row r="29" spans="1:15" s="6" customFormat="1" x14ac:dyDescent="0.25">
      <c r="A29" s="64" t="s">
        <v>33</v>
      </c>
      <c r="B29" s="65"/>
      <c r="C29" s="12">
        <f t="shared" ref="C29:M29" si="13">C27+C28</f>
        <v>0</v>
      </c>
      <c r="D29" s="12">
        <f t="shared" si="13"/>
        <v>0</v>
      </c>
      <c r="E29" s="12">
        <f t="shared" si="13"/>
        <v>0</v>
      </c>
      <c r="F29" s="12">
        <f t="shared" si="13"/>
        <v>138116972.86000001</v>
      </c>
      <c r="G29" s="12">
        <f t="shared" si="13"/>
        <v>0</v>
      </c>
      <c r="H29" s="12">
        <f t="shared" si="13"/>
        <v>0</v>
      </c>
      <c r="I29" s="12">
        <f t="shared" si="13"/>
        <v>0</v>
      </c>
      <c r="J29" s="12">
        <f t="shared" si="13"/>
        <v>35517902</v>
      </c>
      <c r="K29" s="12">
        <f t="shared" si="13"/>
        <v>9343000</v>
      </c>
      <c r="L29" s="12">
        <f t="shared" si="13"/>
        <v>850000</v>
      </c>
      <c r="M29" s="12">
        <f t="shared" si="13"/>
        <v>0</v>
      </c>
      <c r="N29" s="10">
        <f>IF(SUM(C29:M29)=(N27+N28),N27+N28,"ERROR")</f>
        <v>183827874.86000001</v>
      </c>
      <c r="O29" s="11" t="str">
        <f>IF(N29="ERROR",N28-M29,"OK")</f>
        <v>OK</v>
      </c>
    </row>
  </sheetData>
  <mergeCells count="25">
    <mergeCell ref="H3:H4"/>
    <mergeCell ref="A29:B29"/>
    <mergeCell ref="A7:B7"/>
    <mergeCell ref="A9:B9"/>
    <mergeCell ref="A11:B11"/>
    <mergeCell ref="A13:B13"/>
    <mergeCell ref="A15:B15"/>
    <mergeCell ref="A17:B17"/>
    <mergeCell ref="A27:B27"/>
    <mergeCell ref="O3:O4"/>
    <mergeCell ref="A19:B19"/>
    <mergeCell ref="A21:B21"/>
    <mergeCell ref="A23:B23"/>
    <mergeCell ref="A25:B25"/>
    <mergeCell ref="M3:M4"/>
    <mergeCell ref="N3:N4"/>
    <mergeCell ref="I3:I4"/>
    <mergeCell ref="J3:J4"/>
    <mergeCell ref="K3:K4"/>
    <mergeCell ref="L3:L4"/>
    <mergeCell ref="A3:A4"/>
    <mergeCell ref="B3:B4"/>
    <mergeCell ref="C3:E3"/>
    <mergeCell ref="F3:F4"/>
    <mergeCell ref="G3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3"/>
  <sheetViews>
    <sheetView tabSelected="1" topLeftCell="M1" zoomScale="80" zoomScaleNormal="80" workbookViewId="0">
      <selection activeCell="Z13" sqref="Z13"/>
    </sheetView>
  </sheetViews>
  <sheetFormatPr defaultRowHeight="15" x14ac:dyDescent="0.25"/>
  <cols>
    <col min="1" max="1" width="5.7109375" customWidth="1"/>
    <col min="2" max="2" width="25.7109375" customWidth="1"/>
    <col min="3" max="3" width="16.7109375" customWidth="1"/>
    <col min="4" max="4" width="18.7109375" customWidth="1"/>
    <col min="5" max="5" width="17.140625" customWidth="1"/>
    <col min="6" max="6" width="19.140625" customWidth="1"/>
    <col min="7" max="7" width="19" customWidth="1"/>
    <col min="8" max="8" width="18.42578125" customWidth="1"/>
    <col min="9" max="9" width="17.5703125" customWidth="1"/>
    <col min="10" max="10" width="19.28515625" customWidth="1"/>
    <col min="11" max="11" width="19.140625" customWidth="1"/>
    <col min="12" max="12" width="16.28515625" customWidth="1"/>
    <col min="13" max="13" width="21.5703125" customWidth="1"/>
    <col min="14" max="14" width="5.140625" customWidth="1"/>
    <col min="15" max="15" width="5.7109375" customWidth="1"/>
    <col min="16" max="16" width="25.7109375" customWidth="1"/>
    <col min="17" max="17" width="16.7109375" customWidth="1"/>
    <col min="18" max="18" width="18.85546875" customWidth="1"/>
    <col min="19" max="19" width="17.7109375" customWidth="1"/>
    <col min="20" max="20" width="20.85546875" customWidth="1"/>
    <col min="21" max="21" width="16.85546875" customWidth="1"/>
    <col min="22" max="22" width="18.42578125" customWidth="1"/>
    <col min="23" max="23" width="19.140625" customWidth="1"/>
    <col min="24" max="24" width="18.28515625" customWidth="1"/>
    <col min="25" max="25" width="18.5703125" customWidth="1"/>
    <col min="26" max="26" width="17.7109375" customWidth="1"/>
    <col min="27" max="27" width="16.140625" customWidth="1"/>
    <col min="28" max="28" width="22.7109375" bestFit="1" customWidth="1"/>
    <col min="29" max="29" width="18.7109375" customWidth="1"/>
    <col min="30" max="30" width="21.85546875" style="25" customWidth="1"/>
    <col min="31" max="31" width="19.7109375" style="1" bestFit="1" customWidth="1"/>
  </cols>
  <sheetData>
    <row r="1" spans="1:32" x14ac:dyDescent="0.25">
      <c r="A1" s="71" t="s">
        <v>43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spans="1:32" x14ac:dyDescent="0.25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spans="1:32" x14ac:dyDescent="0.25">
      <c r="A3" s="63" t="s">
        <v>13</v>
      </c>
      <c r="B3" s="63" t="s">
        <v>0</v>
      </c>
      <c r="C3" s="72" t="s">
        <v>2</v>
      </c>
      <c r="D3" s="72"/>
      <c r="E3" s="72"/>
      <c r="F3" s="69" t="s">
        <v>6</v>
      </c>
      <c r="G3" s="69" t="s">
        <v>7</v>
      </c>
      <c r="H3" s="69" t="s">
        <v>8</v>
      </c>
      <c r="I3" s="69" t="s">
        <v>9</v>
      </c>
      <c r="J3" s="69" t="s">
        <v>10</v>
      </c>
      <c r="K3" s="69" t="s">
        <v>11</v>
      </c>
      <c r="L3" s="69" t="s">
        <v>12</v>
      </c>
      <c r="M3" s="69" t="s">
        <v>32</v>
      </c>
      <c r="N3" s="73" t="s">
        <v>36</v>
      </c>
      <c r="O3" s="63" t="s">
        <v>13</v>
      </c>
      <c r="P3" s="63" t="s">
        <v>0</v>
      </c>
      <c r="Q3" s="63" t="s">
        <v>2</v>
      </c>
      <c r="R3" s="63"/>
      <c r="S3" s="63"/>
      <c r="T3" s="61" t="s">
        <v>6</v>
      </c>
      <c r="U3" s="61" t="s">
        <v>8</v>
      </c>
      <c r="V3" s="61" t="s">
        <v>9</v>
      </c>
      <c r="W3" s="61" t="s">
        <v>26</v>
      </c>
      <c r="X3" s="61" t="s">
        <v>29</v>
      </c>
      <c r="Y3" s="61" t="s">
        <v>28</v>
      </c>
      <c r="Z3" s="61" t="s">
        <v>27</v>
      </c>
      <c r="AA3" s="61" t="s">
        <v>30</v>
      </c>
      <c r="AB3" s="61" t="s">
        <v>35</v>
      </c>
      <c r="AC3" s="66" t="s">
        <v>37</v>
      </c>
      <c r="AD3" s="19" t="s">
        <v>33</v>
      </c>
      <c r="AE3" s="61" t="s">
        <v>34</v>
      </c>
    </row>
    <row r="4" spans="1:32" x14ac:dyDescent="0.25">
      <c r="A4" s="63"/>
      <c r="B4" s="63"/>
      <c r="C4" s="49" t="s">
        <v>3</v>
      </c>
      <c r="D4" s="49" t="s">
        <v>4</v>
      </c>
      <c r="E4" s="49" t="s">
        <v>5</v>
      </c>
      <c r="F4" s="70"/>
      <c r="G4" s="70"/>
      <c r="H4" s="70"/>
      <c r="I4" s="70"/>
      <c r="J4" s="70"/>
      <c r="K4" s="70"/>
      <c r="L4" s="70"/>
      <c r="M4" s="70"/>
      <c r="N4" s="73"/>
      <c r="O4" s="63"/>
      <c r="P4" s="63"/>
      <c r="Q4" s="20" t="s">
        <v>3</v>
      </c>
      <c r="R4" s="20" t="s">
        <v>4</v>
      </c>
      <c r="S4" s="20" t="s">
        <v>5</v>
      </c>
      <c r="T4" s="62"/>
      <c r="U4" s="62"/>
      <c r="V4" s="62"/>
      <c r="W4" s="62"/>
      <c r="X4" s="62"/>
      <c r="Y4" s="62"/>
      <c r="Z4" s="62"/>
      <c r="AA4" s="62"/>
      <c r="AB4" s="62"/>
      <c r="AC4" s="66"/>
      <c r="AD4" s="21" t="s">
        <v>38</v>
      </c>
      <c r="AE4" s="62"/>
    </row>
    <row r="5" spans="1:32" s="3" customFormat="1" x14ac:dyDescent="0.25">
      <c r="A5" s="4">
        <v>1</v>
      </c>
      <c r="B5" s="5" t="s">
        <v>1</v>
      </c>
      <c r="C5" s="50">
        <v>0</v>
      </c>
      <c r="D5" s="50">
        <v>293030000</v>
      </c>
      <c r="E5" s="50">
        <v>17695117.260000002</v>
      </c>
      <c r="F5" s="50"/>
      <c r="G5" s="50">
        <v>178463062</v>
      </c>
      <c r="H5" s="50">
        <v>1682983</v>
      </c>
      <c r="I5" s="50">
        <v>42782633</v>
      </c>
      <c r="J5" s="50">
        <v>12134201.800000001</v>
      </c>
      <c r="K5" s="50"/>
      <c r="L5" s="50">
        <f>'[1]Hasil Pemasukan'!L5</f>
        <v>0</v>
      </c>
      <c r="M5" s="50">
        <f>SUM(C5:L5)</f>
        <v>545787997.05999994</v>
      </c>
      <c r="N5" s="73"/>
      <c r="O5" s="4">
        <v>1</v>
      </c>
      <c r="P5" s="5" t="s">
        <v>1</v>
      </c>
      <c r="Q5" s="31">
        <f>'[1]Hasil Pengeluaran'!C5</f>
        <v>0</v>
      </c>
      <c r="R5" s="31"/>
      <c r="S5" s="31">
        <f>'[1]Hasil Pengeluaran'!E5</f>
        <v>0</v>
      </c>
      <c r="T5" s="47">
        <v>0</v>
      </c>
      <c r="U5" s="31"/>
      <c r="V5" s="31"/>
      <c r="W5" s="31"/>
      <c r="X5" s="31">
        <v>17592965</v>
      </c>
      <c r="Y5" s="31">
        <v>2062400</v>
      </c>
      <c r="Z5" s="31">
        <f>'[1]Hasil Pengeluaran'!L5</f>
        <v>0</v>
      </c>
      <c r="AA5" s="31">
        <f>'[1]Hasil Pengeluaran'!M5</f>
        <v>0</v>
      </c>
      <c r="AB5" s="31">
        <f>SUM(Q5:AA5)</f>
        <v>19655365</v>
      </c>
      <c r="AC5" s="31">
        <v>526132632.06</v>
      </c>
      <c r="AD5" s="32">
        <f>AB5+AC5</f>
        <v>545787997.05999994</v>
      </c>
      <c r="AE5" s="29" t="str">
        <f>IF(AD5="ERROR",(AB5+AC5)-M5,"OK")</f>
        <v>OK</v>
      </c>
    </row>
    <row r="6" spans="1:32" x14ac:dyDescent="0.25">
      <c r="A6" s="20">
        <v>2</v>
      </c>
      <c r="B6" s="22" t="s">
        <v>14</v>
      </c>
      <c r="C6" s="51">
        <f>'[1]Hasil Pemasukan'!C6</f>
        <v>0</v>
      </c>
      <c r="D6" s="51">
        <v>11470000</v>
      </c>
      <c r="E6" s="51">
        <v>8556526.5999999996</v>
      </c>
      <c r="F6" s="51"/>
      <c r="G6" s="51">
        <v>8556526.5999999996</v>
      </c>
      <c r="H6" s="51"/>
      <c r="I6" s="51"/>
      <c r="J6" s="51">
        <v>17113053.199999999</v>
      </c>
      <c r="K6" s="51">
        <v>19458029</v>
      </c>
      <c r="L6" s="51"/>
      <c r="M6" s="51">
        <f>SUM(C6:L6)</f>
        <v>65154135.400000006</v>
      </c>
      <c r="N6" s="73"/>
      <c r="O6" s="20">
        <v>2</v>
      </c>
      <c r="P6" s="22" t="s">
        <v>14</v>
      </c>
      <c r="Q6" s="23">
        <f>'[1]Hasil Pengeluaran'!C6</f>
        <v>0</v>
      </c>
      <c r="R6" s="23">
        <v>0</v>
      </c>
      <c r="S6" s="23">
        <f>'[1]Hasil Pengeluaran'!E6</f>
        <v>0</v>
      </c>
      <c r="T6" s="48"/>
      <c r="U6" s="23">
        <v>1000000</v>
      </c>
      <c r="V6" s="23">
        <v>42782633</v>
      </c>
      <c r="W6" s="23">
        <v>13050000</v>
      </c>
      <c r="X6" s="23">
        <v>16958029</v>
      </c>
      <c r="Y6" s="23">
        <v>0</v>
      </c>
      <c r="Z6" s="23">
        <v>1750000</v>
      </c>
      <c r="AA6" s="23">
        <f>'[1]Hasil Pengeluaran'!M6</f>
        <v>0</v>
      </c>
      <c r="AB6" s="23">
        <f>SUM(Q6:AA6)</f>
        <v>75540662</v>
      </c>
      <c r="AC6" s="23"/>
      <c r="AD6" s="24"/>
      <c r="AE6" s="7"/>
    </row>
    <row r="7" spans="1:32" s="30" customFormat="1" x14ac:dyDescent="0.25">
      <c r="A7" s="67" t="s">
        <v>33</v>
      </c>
      <c r="B7" s="68"/>
      <c r="C7" s="52">
        <f>C5+C6</f>
        <v>0</v>
      </c>
      <c r="D7" s="52">
        <f t="shared" ref="D7:L7" si="0">D5+D6</f>
        <v>304500000</v>
      </c>
      <c r="E7" s="52">
        <f>E5+E6</f>
        <v>26251643.859999999</v>
      </c>
      <c r="F7" s="52">
        <f t="shared" si="0"/>
        <v>0</v>
      </c>
      <c r="G7" s="52">
        <f t="shared" si="0"/>
        <v>187019588.59999999</v>
      </c>
      <c r="H7" s="52">
        <f t="shared" si="0"/>
        <v>1682983</v>
      </c>
      <c r="I7" s="52">
        <f t="shared" si="0"/>
        <v>42782633</v>
      </c>
      <c r="J7" s="52">
        <f t="shared" si="0"/>
        <v>29247255</v>
      </c>
      <c r="K7" s="52">
        <f t="shared" si="0"/>
        <v>19458029</v>
      </c>
      <c r="L7" s="52">
        <f t="shared" si="0"/>
        <v>0</v>
      </c>
      <c r="M7" s="52">
        <f>IF(SUM(C7:L7)=(M5+M6),M5+M6,"ERROR")</f>
        <v>610942132.45999992</v>
      </c>
      <c r="N7" s="73"/>
      <c r="O7" s="67" t="s">
        <v>33</v>
      </c>
      <c r="P7" s="68"/>
      <c r="Q7" s="27">
        <f>Q5+Q6</f>
        <v>0</v>
      </c>
      <c r="R7" s="27">
        <f t="shared" ref="R7:AA7" si="1">R5+R6</f>
        <v>0</v>
      </c>
      <c r="S7" s="27">
        <f t="shared" si="1"/>
        <v>0</v>
      </c>
      <c r="T7" s="45">
        <f t="shared" si="1"/>
        <v>0</v>
      </c>
      <c r="U7" s="27">
        <f t="shared" si="1"/>
        <v>1000000</v>
      </c>
      <c r="V7" s="27">
        <f t="shared" si="1"/>
        <v>42782633</v>
      </c>
      <c r="W7" s="27">
        <f t="shared" si="1"/>
        <v>13050000</v>
      </c>
      <c r="X7" s="27">
        <f t="shared" si="1"/>
        <v>34550994</v>
      </c>
      <c r="Y7" s="27">
        <f t="shared" si="1"/>
        <v>2062400</v>
      </c>
      <c r="Z7" s="27">
        <f t="shared" si="1"/>
        <v>1750000</v>
      </c>
      <c r="AA7" s="27">
        <f t="shared" si="1"/>
        <v>0</v>
      </c>
      <c r="AB7" s="27">
        <f>IF(SUM(Q7:AA7)=(AB5+AB6),AB5+AB6,"ERROR")</f>
        <v>95196027</v>
      </c>
      <c r="AC7" s="40">
        <v>515746105.45999998</v>
      </c>
      <c r="AD7" s="28">
        <f>AB7+AC7</f>
        <v>610942132.46000004</v>
      </c>
      <c r="AE7" s="29" t="str">
        <f>IF(AD7="ERROR",(AB7+AC7)-M7,"OK")</f>
        <v>OK</v>
      </c>
    </row>
    <row r="8" spans="1:32" x14ac:dyDescent="0.25">
      <c r="A8" s="20">
        <v>3</v>
      </c>
      <c r="B8" s="22" t="s">
        <v>15</v>
      </c>
      <c r="C8" s="51">
        <v>0</v>
      </c>
      <c r="D8" s="51">
        <v>17555000</v>
      </c>
      <c r="E8" s="51">
        <v>0</v>
      </c>
      <c r="F8" s="51">
        <v>0</v>
      </c>
      <c r="G8" s="51">
        <v>0</v>
      </c>
      <c r="H8" s="51">
        <v>0</v>
      </c>
      <c r="I8" s="51">
        <v>0</v>
      </c>
      <c r="J8" s="51">
        <v>0</v>
      </c>
      <c r="K8" s="51">
        <v>18991971</v>
      </c>
      <c r="L8" s="51">
        <v>0</v>
      </c>
      <c r="M8" s="51">
        <f>SUM(C8:L8)</f>
        <v>36546971</v>
      </c>
      <c r="N8" s="73"/>
      <c r="O8" s="20">
        <v>3</v>
      </c>
      <c r="P8" s="22" t="s">
        <v>15</v>
      </c>
      <c r="Q8" s="23">
        <v>0</v>
      </c>
      <c r="R8" s="23">
        <v>275000</v>
      </c>
      <c r="S8" s="23">
        <v>0</v>
      </c>
      <c r="T8" s="48">
        <v>0</v>
      </c>
      <c r="U8" s="23">
        <v>0</v>
      </c>
      <c r="V8" s="23">
        <v>0</v>
      </c>
      <c r="W8" s="23">
        <v>0</v>
      </c>
      <c r="X8" s="23">
        <v>10307839</v>
      </c>
      <c r="Y8" s="23">
        <v>0</v>
      </c>
      <c r="Z8" s="23">
        <v>1750000</v>
      </c>
      <c r="AA8" s="23">
        <v>0</v>
      </c>
      <c r="AB8" s="23">
        <f>SUM(Q8:AA8)</f>
        <v>12332839</v>
      </c>
      <c r="AC8" s="23"/>
      <c r="AD8" s="24"/>
      <c r="AE8" s="29"/>
    </row>
    <row r="9" spans="1:32" s="30" customFormat="1" x14ac:dyDescent="0.25">
      <c r="A9" s="67" t="s">
        <v>33</v>
      </c>
      <c r="B9" s="68"/>
      <c r="C9" s="52">
        <f t="shared" ref="C9:L9" si="2">C7+C8</f>
        <v>0</v>
      </c>
      <c r="D9" s="52">
        <f t="shared" si="2"/>
        <v>322055000</v>
      </c>
      <c r="E9" s="52">
        <f t="shared" si="2"/>
        <v>26251643.859999999</v>
      </c>
      <c r="F9" s="52">
        <f t="shared" si="2"/>
        <v>0</v>
      </c>
      <c r="G9" s="52">
        <f t="shared" si="2"/>
        <v>187019588.59999999</v>
      </c>
      <c r="H9" s="52">
        <f t="shared" si="2"/>
        <v>1682983</v>
      </c>
      <c r="I9" s="52">
        <f t="shared" si="2"/>
        <v>42782633</v>
      </c>
      <c r="J9" s="52">
        <f t="shared" si="2"/>
        <v>29247255</v>
      </c>
      <c r="K9" s="52">
        <f t="shared" si="2"/>
        <v>38450000</v>
      </c>
      <c r="L9" s="52">
        <f t="shared" si="2"/>
        <v>0</v>
      </c>
      <c r="M9" s="52">
        <f>IF(SUM(C9:L9)=(M7+M8),M7+M8,"ERROR")</f>
        <v>647489103.45999992</v>
      </c>
      <c r="N9" s="73"/>
      <c r="O9" s="67" t="s">
        <v>33</v>
      </c>
      <c r="P9" s="68"/>
      <c r="Q9" s="27">
        <f t="shared" ref="Q9:AA9" si="3">Q7+Q8</f>
        <v>0</v>
      </c>
      <c r="R9" s="27">
        <f t="shared" si="3"/>
        <v>275000</v>
      </c>
      <c r="S9" s="27">
        <f t="shared" si="3"/>
        <v>0</v>
      </c>
      <c r="T9" s="45">
        <f>T7+T8</f>
        <v>0</v>
      </c>
      <c r="U9" s="27">
        <f t="shared" si="3"/>
        <v>1000000</v>
      </c>
      <c r="V9" s="27">
        <f t="shared" si="3"/>
        <v>42782633</v>
      </c>
      <c r="W9" s="27">
        <f t="shared" si="3"/>
        <v>13050000</v>
      </c>
      <c r="X9" s="27">
        <f t="shared" si="3"/>
        <v>44858833</v>
      </c>
      <c r="Y9" s="27">
        <f t="shared" si="3"/>
        <v>2062400</v>
      </c>
      <c r="Z9" s="27">
        <f t="shared" si="3"/>
        <v>3500000</v>
      </c>
      <c r="AA9" s="27">
        <f t="shared" si="3"/>
        <v>0</v>
      </c>
      <c r="AB9" s="27">
        <f>IF(SUM(Q9:AA9)=(AB7+AB8),AB7+AB8,"ERROR")</f>
        <v>107528866</v>
      </c>
      <c r="AC9" s="40">
        <v>255882730.19999999</v>
      </c>
      <c r="AD9" s="28">
        <f>AB9+AC9</f>
        <v>363411596.19999999</v>
      </c>
      <c r="AE9" s="29" t="str">
        <f>IF(AD9="ERROR",(AB9+AC9)-M9,"OK")</f>
        <v>OK</v>
      </c>
      <c r="AF9" s="30" t="s">
        <v>42</v>
      </c>
    </row>
    <row r="10" spans="1:32" x14ac:dyDescent="0.25">
      <c r="A10" s="20">
        <v>4</v>
      </c>
      <c r="B10" s="22" t="s">
        <v>16</v>
      </c>
      <c r="C10" s="51"/>
      <c r="D10" s="51">
        <v>0</v>
      </c>
      <c r="E10" s="51"/>
      <c r="F10" s="51"/>
      <c r="G10" s="51"/>
      <c r="H10" s="51"/>
      <c r="I10" s="51"/>
      <c r="J10" s="51"/>
      <c r="K10" s="51">
        <v>0</v>
      </c>
      <c r="L10" s="51"/>
      <c r="M10" s="51">
        <f>SUM(C10:L10)</f>
        <v>0</v>
      </c>
      <c r="N10" s="73"/>
      <c r="O10" s="20">
        <v>4</v>
      </c>
      <c r="P10" s="22" t="s">
        <v>16</v>
      </c>
      <c r="Q10" s="23"/>
      <c r="R10" s="23">
        <v>0</v>
      </c>
      <c r="S10" s="23"/>
      <c r="T10" s="48"/>
      <c r="U10" s="23"/>
      <c r="V10" s="23"/>
      <c r="W10" s="23">
        <v>0</v>
      </c>
      <c r="X10" s="23">
        <v>0</v>
      </c>
      <c r="Y10" s="23">
        <v>0</v>
      </c>
      <c r="Z10" s="23">
        <v>1750000</v>
      </c>
      <c r="AA10" s="23"/>
      <c r="AB10" s="23">
        <f>SUM(Q10:AA10)</f>
        <v>1750000</v>
      </c>
      <c r="AC10" s="23"/>
      <c r="AD10" s="24"/>
      <c r="AE10" s="7"/>
    </row>
    <row r="11" spans="1:32" s="30" customFormat="1" x14ac:dyDescent="0.25">
      <c r="A11" s="67" t="s">
        <v>33</v>
      </c>
      <c r="B11" s="68"/>
      <c r="C11" s="52">
        <f t="shared" ref="C11:L11" si="4">C9+C10</f>
        <v>0</v>
      </c>
      <c r="D11" s="53">
        <f t="shared" si="4"/>
        <v>322055000</v>
      </c>
      <c r="E11" s="52">
        <f t="shared" si="4"/>
        <v>26251643.859999999</v>
      </c>
      <c r="F11" s="52">
        <f t="shared" si="4"/>
        <v>0</v>
      </c>
      <c r="G11" s="52">
        <f t="shared" si="4"/>
        <v>187019588.59999999</v>
      </c>
      <c r="H11" s="52">
        <f t="shared" si="4"/>
        <v>1682983</v>
      </c>
      <c r="I11" s="52">
        <f t="shared" si="4"/>
        <v>42782633</v>
      </c>
      <c r="J11" s="52">
        <f t="shared" si="4"/>
        <v>29247255</v>
      </c>
      <c r="K11" s="52">
        <f t="shared" si="4"/>
        <v>38450000</v>
      </c>
      <c r="L11" s="52">
        <f t="shared" si="4"/>
        <v>0</v>
      </c>
      <c r="M11" s="52">
        <f>IF(SUM(C11:L11)=(M9+M10),M9+M10,"ERROR")</f>
        <v>647489103.45999992</v>
      </c>
      <c r="N11" s="73"/>
      <c r="O11" s="67" t="s">
        <v>33</v>
      </c>
      <c r="P11" s="68"/>
      <c r="Q11" s="27">
        <f t="shared" ref="Q11:AA11" si="5">Q9+Q10</f>
        <v>0</v>
      </c>
      <c r="R11" s="27">
        <f t="shared" si="5"/>
        <v>275000</v>
      </c>
      <c r="S11" s="27">
        <f t="shared" si="5"/>
        <v>0</v>
      </c>
      <c r="T11" s="45">
        <f t="shared" si="5"/>
        <v>0</v>
      </c>
      <c r="U11" s="27">
        <f t="shared" si="5"/>
        <v>1000000</v>
      </c>
      <c r="V11" s="27">
        <f t="shared" si="5"/>
        <v>42782633</v>
      </c>
      <c r="W11" s="27">
        <f t="shared" si="5"/>
        <v>13050000</v>
      </c>
      <c r="X11" s="27">
        <f t="shared" si="5"/>
        <v>44858833</v>
      </c>
      <c r="Y11" s="27">
        <f t="shared" si="5"/>
        <v>2062400</v>
      </c>
      <c r="Z11" s="27">
        <f t="shared" si="5"/>
        <v>5250000</v>
      </c>
      <c r="AA11" s="27">
        <f t="shared" si="5"/>
        <v>0</v>
      </c>
      <c r="AB11" s="27">
        <f>IF(SUM(Q11:AA11)=(AB9+AB10),AB9+AB10,"ERROR")</f>
        <v>109278866</v>
      </c>
      <c r="AC11" s="40">
        <v>290847730.19999999</v>
      </c>
      <c r="AD11" s="28">
        <f>AB11+AC11</f>
        <v>400126596.19999999</v>
      </c>
      <c r="AE11" s="29" t="str">
        <f>IF(AD11="ERROR",(AB11+AC11)-M11,"OK")</f>
        <v>OK</v>
      </c>
    </row>
    <row r="12" spans="1:32" x14ac:dyDescent="0.25">
      <c r="A12" s="20">
        <v>5</v>
      </c>
      <c r="B12" s="22" t="s">
        <v>17</v>
      </c>
      <c r="C12" s="51"/>
      <c r="D12" s="51">
        <v>2835000</v>
      </c>
      <c r="E12" s="51">
        <v>0</v>
      </c>
      <c r="F12" s="51">
        <v>0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1"/>
      <c r="M12" s="51">
        <f>SUM(C12:L12)</f>
        <v>2835000</v>
      </c>
      <c r="N12" s="73"/>
      <c r="O12" s="20">
        <v>5</v>
      </c>
      <c r="P12" s="22" t="s">
        <v>17</v>
      </c>
      <c r="Q12" s="23"/>
      <c r="R12" s="23">
        <v>0</v>
      </c>
      <c r="S12" s="23">
        <v>0</v>
      </c>
      <c r="T12" s="48">
        <v>0</v>
      </c>
      <c r="U12" s="23"/>
      <c r="V12" s="23">
        <v>0</v>
      </c>
      <c r="W12" s="23">
        <v>0</v>
      </c>
      <c r="X12" s="23">
        <v>4950000</v>
      </c>
      <c r="Y12" s="23">
        <v>0</v>
      </c>
      <c r="Z12" s="23">
        <v>1750000</v>
      </c>
      <c r="AA12" s="23"/>
      <c r="AB12" s="23">
        <f>SUM(Q12:AA12)</f>
        <v>6700000</v>
      </c>
      <c r="AC12" s="23"/>
      <c r="AD12" s="24"/>
      <c r="AE12" s="7"/>
    </row>
    <row r="13" spans="1:32" s="30" customFormat="1" x14ac:dyDescent="0.25">
      <c r="A13" s="67" t="s">
        <v>33</v>
      </c>
      <c r="B13" s="68"/>
      <c r="C13" s="52">
        <f t="shared" ref="C13:K13" si="6">C11+C12</f>
        <v>0</v>
      </c>
      <c r="D13" s="52">
        <f t="shared" si="6"/>
        <v>324890000</v>
      </c>
      <c r="E13" s="52">
        <f t="shared" si="6"/>
        <v>26251643.859999999</v>
      </c>
      <c r="F13" s="52">
        <f t="shared" si="6"/>
        <v>0</v>
      </c>
      <c r="G13" s="52">
        <f t="shared" si="6"/>
        <v>187019588.59999999</v>
      </c>
      <c r="H13" s="52">
        <f t="shared" si="6"/>
        <v>1682983</v>
      </c>
      <c r="I13" s="52">
        <f t="shared" si="6"/>
        <v>42782633</v>
      </c>
      <c r="J13" s="52">
        <f t="shared" si="6"/>
        <v>29247255</v>
      </c>
      <c r="K13" s="52">
        <f t="shared" si="6"/>
        <v>38450000</v>
      </c>
      <c r="L13" s="52">
        <f>L11+L12</f>
        <v>0</v>
      </c>
      <c r="M13" s="52">
        <f>IF(SUM(C13:L13)=(M11+M12),M11+M12,"ERROR")</f>
        <v>650324103.45999992</v>
      </c>
      <c r="N13" s="73"/>
      <c r="O13" s="67" t="s">
        <v>33</v>
      </c>
      <c r="P13" s="68"/>
      <c r="Q13" s="27">
        <f>'Hasil Pengeluaran'!C12</f>
        <v>0</v>
      </c>
      <c r="R13" s="27">
        <f t="shared" ref="R13:AA13" si="7">R11+R12</f>
        <v>275000</v>
      </c>
      <c r="S13" s="27">
        <f t="shared" si="7"/>
        <v>0</v>
      </c>
      <c r="T13" s="45">
        <f t="shared" si="7"/>
        <v>0</v>
      </c>
      <c r="U13" s="27">
        <f t="shared" si="7"/>
        <v>1000000</v>
      </c>
      <c r="V13" s="45">
        <f t="shared" si="7"/>
        <v>42782633</v>
      </c>
      <c r="W13" s="27">
        <f t="shared" si="7"/>
        <v>13050000</v>
      </c>
      <c r="X13" s="27">
        <f t="shared" si="7"/>
        <v>49808833</v>
      </c>
      <c r="Y13" s="27">
        <f t="shared" si="7"/>
        <v>2062400</v>
      </c>
      <c r="Z13" s="27">
        <f t="shared" si="7"/>
        <v>7000000</v>
      </c>
      <c r="AA13" s="27">
        <f t="shared" si="7"/>
        <v>0</v>
      </c>
      <c r="AB13" s="27">
        <f>IF(SUM(Q13:AA13)=(AB11+AB12),AB11+AB12,"ERROR")</f>
        <v>115978866</v>
      </c>
      <c r="AC13" s="40">
        <v>365308730.19999999</v>
      </c>
      <c r="AD13" s="28">
        <f>AB13+AC13</f>
        <v>481287596.19999999</v>
      </c>
      <c r="AE13" s="29" t="str">
        <f>IF(AD13="ERROR",(AB13+AC13)-M13,"OK")</f>
        <v>OK</v>
      </c>
    </row>
    <row r="14" spans="1:32" x14ac:dyDescent="0.25">
      <c r="A14" s="20" t="s">
        <v>42</v>
      </c>
      <c r="B14" s="22" t="s">
        <v>18</v>
      </c>
      <c r="C14" s="51"/>
      <c r="D14" s="51">
        <v>7750000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23160000</v>
      </c>
      <c r="L14" s="51">
        <v>0</v>
      </c>
      <c r="M14" s="51">
        <f>SUM(C14:L14)</f>
        <v>30910000</v>
      </c>
      <c r="N14" s="73"/>
      <c r="O14" s="20">
        <v>6</v>
      </c>
      <c r="P14" s="22" t="s">
        <v>18</v>
      </c>
      <c r="Q14" s="23">
        <v>0</v>
      </c>
      <c r="R14" s="23">
        <v>245045000</v>
      </c>
      <c r="S14" s="23">
        <v>0</v>
      </c>
      <c r="T14" s="48">
        <v>0</v>
      </c>
      <c r="U14" s="23">
        <v>239000</v>
      </c>
      <c r="V14" s="48">
        <v>4373485</v>
      </c>
      <c r="W14" s="23"/>
      <c r="X14" s="23">
        <v>25917500</v>
      </c>
      <c r="Y14" s="23"/>
      <c r="Z14" s="23">
        <v>1700000</v>
      </c>
      <c r="AA14" s="23">
        <v>0</v>
      </c>
      <c r="AB14" s="23">
        <f>SUM(Q14:AA14)</f>
        <v>277274985</v>
      </c>
      <c r="AC14" s="23"/>
      <c r="AD14" s="24"/>
      <c r="AE14" s="7"/>
    </row>
    <row r="15" spans="1:32" s="30" customFormat="1" x14ac:dyDescent="0.25">
      <c r="A15" s="67" t="s">
        <v>33</v>
      </c>
      <c r="B15" s="68"/>
      <c r="C15" s="52">
        <f t="shared" ref="C15:L15" si="8">C13+C14</f>
        <v>0</v>
      </c>
      <c r="D15" s="52">
        <f t="shared" si="8"/>
        <v>332640000</v>
      </c>
      <c r="E15" s="52">
        <f t="shared" si="8"/>
        <v>26251643.859999999</v>
      </c>
      <c r="F15" s="52">
        <f t="shared" si="8"/>
        <v>0</v>
      </c>
      <c r="G15" s="52">
        <f t="shared" si="8"/>
        <v>187019588.59999999</v>
      </c>
      <c r="H15" s="52">
        <f t="shared" si="8"/>
        <v>1682983</v>
      </c>
      <c r="I15" s="52">
        <f>I13+I14</f>
        <v>42782633</v>
      </c>
      <c r="J15" s="52">
        <f t="shared" si="8"/>
        <v>29247255</v>
      </c>
      <c r="K15" s="52">
        <f t="shared" si="8"/>
        <v>61610000</v>
      </c>
      <c r="L15" s="52">
        <f t="shared" si="8"/>
        <v>0</v>
      </c>
      <c r="M15" s="52">
        <f>IF(SUM(C15:L15)=(M13+M14),M13+M14,"ERROR")</f>
        <v>681234103.45999992</v>
      </c>
      <c r="N15" s="73"/>
      <c r="O15" s="67" t="s">
        <v>33</v>
      </c>
      <c r="P15" s="68"/>
      <c r="Q15" s="27">
        <f>Q13+Q14</f>
        <v>0</v>
      </c>
      <c r="R15" s="27">
        <f t="shared" ref="R15:AA15" si="9">R13+R14</f>
        <v>245320000</v>
      </c>
      <c r="S15" s="27">
        <f t="shared" si="9"/>
        <v>0</v>
      </c>
      <c r="T15" s="45">
        <f t="shared" si="9"/>
        <v>0</v>
      </c>
      <c r="U15" s="27">
        <f t="shared" si="9"/>
        <v>1239000</v>
      </c>
      <c r="V15" s="45">
        <f t="shared" si="9"/>
        <v>47156118</v>
      </c>
      <c r="W15" s="27">
        <f t="shared" si="9"/>
        <v>13050000</v>
      </c>
      <c r="X15" s="27">
        <f t="shared" si="9"/>
        <v>75726333</v>
      </c>
      <c r="Y15" s="27">
        <f t="shared" si="9"/>
        <v>2062400</v>
      </c>
      <c r="Z15" s="27">
        <f t="shared" si="9"/>
        <v>8700000</v>
      </c>
      <c r="AA15" s="27">
        <f t="shared" si="9"/>
        <v>0</v>
      </c>
      <c r="AB15" s="27">
        <f>SUM(Q15:AA15)</f>
        <v>393253851</v>
      </c>
      <c r="AC15" s="31">
        <v>118943745.2</v>
      </c>
      <c r="AD15" s="28">
        <f>AB15+AC15</f>
        <v>512197596.19999999</v>
      </c>
      <c r="AE15" s="29" t="str">
        <f>IF(AD15="ERROR",(AB15+AC15)-M15,"OK")</f>
        <v>OK</v>
      </c>
    </row>
    <row r="16" spans="1:32" x14ac:dyDescent="0.25">
      <c r="A16" s="20">
        <v>7</v>
      </c>
      <c r="B16" s="22" t="s">
        <v>19</v>
      </c>
      <c r="C16" s="51"/>
      <c r="D16" s="51">
        <v>24830000</v>
      </c>
      <c r="E16" s="51"/>
      <c r="F16" s="51"/>
      <c r="G16" s="51"/>
      <c r="H16" s="51"/>
      <c r="I16" s="51"/>
      <c r="J16" s="51"/>
      <c r="K16" s="51">
        <v>8839100</v>
      </c>
      <c r="L16" s="51"/>
      <c r="M16" s="51">
        <f>SUM(C16:L16)</f>
        <v>33669100</v>
      </c>
      <c r="N16" s="73"/>
      <c r="O16" s="20">
        <v>7</v>
      </c>
      <c r="P16" s="22" t="s">
        <v>19</v>
      </c>
      <c r="Q16" s="23"/>
      <c r="R16" s="23">
        <v>0</v>
      </c>
      <c r="S16" s="23">
        <v>0</v>
      </c>
      <c r="T16" s="48">
        <v>0</v>
      </c>
      <c r="U16" s="23"/>
      <c r="V16" s="48"/>
      <c r="W16" s="23">
        <v>608000</v>
      </c>
      <c r="X16" s="23">
        <v>5339100</v>
      </c>
      <c r="Y16" s="23"/>
      <c r="Z16" s="23">
        <v>1700000</v>
      </c>
      <c r="AA16" s="23"/>
      <c r="AB16" s="23">
        <f>SUM(Q16:AA16)</f>
        <v>7647100</v>
      </c>
      <c r="AC16" s="23" t="s">
        <v>42</v>
      </c>
      <c r="AD16" s="24"/>
      <c r="AE16" s="7"/>
    </row>
    <row r="17" spans="1:31" s="30" customFormat="1" x14ac:dyDescent="0.25">
      <c r="A17" s="67" t="s">
        <v>33</v>
      </c>
      <c r="B17" s="68"/>
      <c r="C17" s="52">
        <f t="shared" ref="C17:L17" si="10">C15+C16</f>
        <v>0</v>
      </c>
      <c r="D17" s="52">
        <f>D15+D16</f>
        <v>357470000</v>
      </c>
      <c r="E17" s="52">
        <f t="shared" si="10"/>
        <v>26251643.859999999</v>
      </c>
      <c r="F17" s="52">
        <f t="shared" si="10"/>
        <v>0</v>
      </c>
      <c r="G17" s="52">
        <f t="shared" si="10"/>
        <v>187019588.59999999</v>
      </c>
      <c r="H17" s="52">
        <f t="shared" si="10"/>
        <v>1682983</v>
      </c>
      <c r="I17" s="52">
        <f t="shared" si="10"/>
        <v>42782633</v>
      </c>
      <c r="J17" s="52">
        <f t="shared" si="10"/>
        <v>29247255</v>
      </c>
      <c r="K17" s="52">
        <f t="shared" si="10"/>
        <v>70449100</v>
      </c>
      <c r="L17" s="52">
        <f t="shared" si="10"/>
        <v>0</v>
      </c>
      <c r="M17" s="52">
        <f>IF(SUM(C17:L17)=(M15+M16),M15+M16,"ERROR")</f>
        <v>714903203.45999992</v>
      </c>
      <c r="N17" s="73"/>
      <c r="O17" s="67" t="s">
        <v>33</v>
      </c>
      <c r="P17" s="68"/>
      <c r="Q17" s="27">
        <f t="shared" ref="Q17:AA17" si="11">Q15+Q16</f>
        <v>0</v>
      </c>
      <c r="R17" s="27">
        <f t="shared" si="11"/>
        <v>245320000</v>
      </c>
      <c r="S17" s="27">
        <f t="shared" si="11"/>
        <v>0</v>
      </c>
      <c r="T17" s="45">
        <f t="shared" si="11"/>
        <v>0</v>
      </c>
      <c r="U17" s="27">
        <f t="shared" si="11"/>
        <v>1239000</v>
      </c>
      <c r="V17" s="45">
        <f>V15+V16</f>
        <v>47156118</v>
      </c>
      <c r="W17" s="27">
        <f t="shared" si="11"/>
        <v>13658000</v>
      </c>
      <c r="X17" s="27">
        <f t="shared" si="11"/>
        <v>81065433</v>
      </c>
      <c r="Y17" s="27">
        <f t="shared" si="11"/>
        <v>2062400</v>
      </c>
      <c r="Z17" s="27">
        <f t="shared" si="11"/>
        <v>10400000</v>
      </c>
      <c r="AA17" s="27">
        <f t="shared" si="11"/>
        <v>0</v>
      </c>
      <c r="AB17" s="27">
        <f>SUM(Q17:AA17)</f>
        <v>400900951</v>
      </c>
      <c r="AC17" s="31">
        <v>144965745.19999999</v>
      </c>
      <c r="AD17" s="28">
        <f>AB17+AC17</f>
        <v>545866696.20000005</v>
      </c>
      <c r="AE17" s="29" t="str">
        <f>IF(AD17="ERROR",(AB17+AC17)-M17,"OK")</f>
        <v>OK</v>
      </c>
    </row>
    <row r="18" spans="1:31" x14ac:dyDescent="0.25">
      <c r="A18" s="20">
        <v>8</v>
      </c>
      <c r="B18" s="22" t="s">
        <v>20</v>
      </c>
      <c r="C18" s="51">
        <v>0</v>
      </c>
      <c r="D18" s="51">
        <v>0</v>
      </c>
      <c r="E18" s="51"/>
      <c r="F18" s="51"/>
      <c r="G18" s="51"/>
      <c r="H18" s="51"/>
      <c r="I18" s="51"/>
      <c r="J18" s="51"/>
      <c r="K18" s="51">
        <v>85670200</v>
      </c>
      <c r="L18" s="51"/>
      <c r="M18" s="51">
        <f>SUM(C18:L18)</f>
        <v>85670200</v>
      </c>
      <c r="N18" s="73"/>
      <c r="O18" s="20">
        <v>8</v>
      </c>
      <c r="P18" s="22" t="s">
        <v>20</v>
      </c>
      <c r="Q18" s="23"/>
      <c r="R18" s="23"/>
      <c r="S18" s="23"/>
      <c r="T18" s="48"/>
      <c r="U18" s="23"/>
      <c r="V18" s="48"/>
      <c r="W18" s="23">
        <v>0</v>
      </c>
      <c r="X18" s="23">
        <v>25926200</v>
      </c>
      <c r="Y18" s="23">
        <v>90000</v>
      </c>
      <c r="Z18" s="23">
        <v>1700000</v>
      </c>
      <c r="AA18" s="23"/>
      <c r="AB18" s="23">
        <f>SUM(Q18:AA18)</f>
        <v>27716200</v>
      </c>
      <c r="AC18" s="23"/>
      <c r="AD18" s="24"/>
      <c r="AE18" s="7"/>
    </row>
    <row r="19" spans="1:31" s="30" customFormat="1" x14ac:dyDescent="0.25">
      <c r="A19" s="67" t="s">
        <v>33</v>
      </c>
      <c r="B19" s="68"/>
      <c r="C19" s="52">
        <f t="shared" ref="C19:L19" si="12">C17+C18</f>
        <v>0</v>
      </c>
      <c r="D19" s="52">
        <f t="shared" si="12"/>
        <v>357470000</v>
      </c>
      <c r="E19" s="52">
        <f t="shared" si="12"/>
        <v>26251643.859999999</v>
      </c>
      <c r="F19" s="52">
        <f t="shared" si="12"/>
        <v>0</v>
      </c>
      <c r="G19" s="52">
        <f t="shared" si="12"/>
        <v>187019588.59999999</v>
      </c>
      <c r="H19" s="52">
        <f t="shared" si="12"/>
        <v>1682983</v>
      </c>
      <c r="I19" s="52">
        <f t="shared" si="12"/>
        <v>42782633</v>
      </c>
      <c r="J19" s="52">
        <f t="shared" si="12"/>
        <v>29247255</v>
      </c>
      <c r="K19" s="52">
        <f t="shared" si="12"/>
        <v>156119300</v>
      </c>
      <c r="L19" s="52">
        <f t="shared" si="12"/>
        <v>0</v>
      </c>
      <c r="M19" s="52">
        <f>IF(SUM(C19:L19)=(M17+M18),M17+M18,"ERROR")</f>
        <v>800573403.45999992</v>
      </c>
      <c r="N19" s="73"/>
      <c r="O19" s="67" t="s">
        <v>33</v>
      </c>
      <c r="P19" s="68"/>
      <c r="Q19" s="27">
        <f t="shared" ref="Q19:AA19" si="13">Q17+Q18</f>
        <v>0</v>
      </c>
      <c r="R19" s="27">
        <f t="shared" si="13"/>
        <v>245320000</v>
      </c>
      <c r="S19" s="27">
        <f t="shared" si="13"/>
        <v>0</v>
      </c>
      <c r="T19" s="45">
        <f t="shared" si="13"/>
        <v>0</v>
      </c>
      <c r="U19" s="27">
        <f t="shared" si="13"/>
        <v>1239000</v>
      </c>
      <c r="V19" s="45">
        <f t="shared" si="13"/>
        <v>47156118</v>
      </c>
      <c r="W19" s="27">
        <f t="shared" si="13"/>
        <v>13658000</v>
      </c>
      <c r="X19" s="27">
        <f t="shared" si="13"/>
        <v>106991633</v>
      </c>
      <c r="Y19" s="27">
        <f t="shared" si="13"/>
        <v>2152400</v>
      </c>
      <c r="Z19" s="27">
        <f t="shared" si="13"/>
        <v>12100000</v>
      </c>
      <c r="AA19" s="27">
        <f t="shared" si="13"/>
        <v>0</v>
      </c>
      <c r="AB19" s="27">
        <f>IF(SUM(Q19:AA19)=(AB17+AB18),AB17+AB18,"ERROR")</f>
        <v>428617151</v>
      </c>
      <c r="AC19" s="55">
        <v>202919745.19999999</v>
      </c>
      <c r="AD19" s="28">
        <f>AB19+AC19</f>
        <v>631536896.20000005</v>
      </c>
      <c r="AE19" s="29" t="str">
        <f>IF(AD19="ERROR",(AB19+AC19)-M19,"OK")</f>
        <v>OK</v>
      </c>
    </row>
    <row r="20" spans="1:31" x14ac:dyDescent="0.25">
      <c r="A20" s="20">
        <v>9</v>
      </c>
      <c r="B20" s="22" t="s">
        <v>21</v>
      </c>
      <c r="C20" s="51"/>
      <c r="D20" s="51">
        <v>35300000</v>
      </c>
      <c r="E20" s="51"/>
      <c r="F20" s="51"/>
      <c r="G20" s="51"/>
      <c r="H20" s="51"/>
      <c r="I20" s="51"/>
      <c r="J20" s="51"/>
      <c r="K20" s="51">
        <v>31880850</v>
      </c>
      <c r="L20" s="51"/>
      <c r="M20" s="51">
        <f>SUM(C20:L20)</f>
        <v>67180850</v>
      </c>
      <c r="N20" s="73"/>
      <c r="O20" s="20">
        <v>9</v>
      </c>
      <c r="P20" s="22" t="s">
        <v>21</v>
      </c>
      <c r="Q20" s="23"/>
      <c r="R20" s="23">
        <v>370000</v>
      </c>
      <c r="S20" s="23"/>
      <c r="T20" s="48"/>
      <c r="U20" s="23">
        <v>0</v>
      </c>
      <c r="V20" s="48"/>
      <c r="W20" s="23">
        <v>200000</v>
      </c>
      <c r="X20" s="23">
        <v>20880850</v>
      </c>
      <c r="Y20" s="23"/>
      <c r="Z20" s="23">
        <v>1700000</v>
      </c>
      <c r="AA20" s="23"/>
      <c r="AB20" s="23">
        <f>SUM(Q20:AA20)</f>
        <v>23150850</v>
      </c>
      <c r="AC20" s="23"/>
      <c r="AD20" s="24"/>
      <c r="AE20" s="7"/>
    </row>
    <row r="21" spans="1:31" s="30" customFormat="1" x14ac:dyDescent="0.25">
      <c r="A21" s="67" t="s">
        <v>33</v>
      </c>
      <c r="B21" s="68"/>
      <c r="C21" s="52">
        <f t="shared" ref="C21:K21" si="14">C19+C20</f>
        <v>0</v>
      </c>
      <c r="D21" s="52">
        <f t="shared" si="14"/>
        <v>392770000</v>
      </c>
      <c r="E21" s="52">
        <f t="shared" si="14"/>
        <v>26251643.859999999</v>
      </c>
      <c r="F21" s="52">
        <f t="shared" si="14"/>
        <v>0</v>
      </c>
      <c r="G21" s="52">
        <f t="shared" si="14"/>
        <v>187019588.59999999</v>
      </c>
      <c r="H21" s="52">
        <f t="shared" si="14"/>
        <v>1682983</v>
      </c>
      <c r="I21" s="52">
        <f t="shared" si="14"/>
        <v>42782633</v>
      </c>
      <c r="J21" s="52">
        <f t="shared" si="14"/>
        <v>29247255</v>
      </c>
      <c r="K21" s="52">
        <f t="shared" si="14"/>
        <v>188000150</v>
      </c>
      <c r="L21" s="52">
        <f>L19+L20</f>
        <v>0</v>
      </c>
      <c r="M21" s="52">
        <f>IF(SUM(C21:L21)=(M19+M20),M19+M20,"ERROR")</f>
        <v>867754253.45999992</v>
      </c>
      <c r="N21" s="73"/>
      <c r="O21" s="67" t="s">
        <v>33</v>
      </c>
      <c r="P21" s="68"/>
      <c r="Q21" s="27">
        <f t="shared" ref="Q21:AA21" si="15">Q19+Q20</f>
        <v>0</v>
      </c>
      <c r="R21" s="27">
        <f t="shared" si="15"/>
        <v>245690000</v>
      </c>
      <c r="S21" s="27">
        <f t="shared" si="15"/>
        <v>0</v>
      </c>
      <c r="T21" s="45">
        <f t="shared" si="15"/>
        <v>0</v>
      </c>
      <c r="U21" s="27">
        <f t="shared" si="15"/>
        <v>1239000</v>
      </c>
      <c r="V21" s="45">
        <f t="shared" si="15"/>
        <v>47156118</v>
      </c>
      <c r="W21" s="27">
        <f t="shared" si="15"/>
        <v>13858000</v>
      </c>
      <c r="X21" s="27">
        <f t="shared" si="15"/>
        <v>127872483</v>
      </c>
      <c r="Y21" s="27">
        <f t="shared" si="15"/>
        <v>2152400</v>
      </c>
      <c r="Z21" s="27">
        <f t="shared" si="15"/>
        <v>13800000</v>
      </c>
      <c r="AA21" s="27">
        <f t="shared" si="15"/>
        <v>0</v>
      </c>
      <c r="AB21" s="27">
        <f>SUM(Q21:AA21)</f>
        <v>451768001</v>
      </c>
      <c r="AC21" s="31">
        <v>246949745.19999999</v>
      </c>
      <c r="AD21" s="28">
        <f>AB21+AC21</f>
        <v>698717746.20000005</v>
      </c>
      <c r="AE21" s="29" t="str">
        <f>IF(AD21="ERROR",(AB21+AC21)-M21,"OK")</f>
        <v>OK</v>
      </c>
    </row>
    <row r="22" spans="1:31" x14ac:dyDescent="0.25">
      <c r="A22" s="20">
        <v>10</v>
      </c>
      <c r="B22" s="22" t="s">
        <v>22</v>
      </c>
      <c r="C22" s="51"/>
      <c r="D22" s="51">
        <v>18300000</v>
      </c>
      <c r="E22" s="51"/>
      <c r="F22" s="51"/>
      <c r="G22" s="51"/>
      <c r="H22" s="51"/>
      <c r="I22" s="51"/>
      <c r="J22" s="51"/>
      <c r="K22" s="51">
        <v>19314900</v>
      </c>
      <c r="L22" s="51"/>
      <c r="M22" s="51">
        <f>SUM(C22:L22)</f>
        <v>37614900</v>
      </c>
      <c r="N22" s="73"/>
      <c r="O22" s="20">
        <v>10</v>
      </c>
      <c r="P22" s="22" t="s">
        <v>22</v>
      </c>
      <c r="Q22" s="23"/>
      <c r="R22" s="23">
        <v>135000</v>
      </c>
      <c r="S22" s="23"/>
      <c r="T22" s="48"/>
      <c r="U22" s="23"/>
      <c r="V22" s="48"/>
      <c r="W22" s="23">
        <v>0</v>
      </c>
      <c r="X22" s="23">
        <v>14907400</v>
      </c>
      <c r="Y22" s="23">
        <v>0</v>
      </c>
      <c r="Z22" s="23">
        <v>1700000</v>
      </c>
      <c r="AA22" s="23"/>
      <c r="AB22" s="23">
        <f>SUM(Q22:AA22)</f>
        <v>16742400</v>
      </c>
      <c r="AC22" s="23"/>
      <c r="AD22" s="38"/>
      <c r="AE22" s="7"/>
    </row>
    <row r="23" spans="1:31" s="30" customFormat="1" x14ac:dyDescent="0.25">
      <c r="A23" s="67" t="s">
        <v>33</v>
      </c>
      <c r="B23" s="68"/>
      <c r="C23" s="52">
        <f t="shared" ref="C23:L23" si="16">C21+C22</f>
        <v>0</v>
      </c>
      <c r="D23" s="52">
        <f t="shared" si="16"/>
        <v>411070000</v>
      </c>
      <c r="E23" s="52">
        <f>E21+E22</f>
        <v>26251643.859999999</v>
      </c>
      <c r="F23" s="52">
        <f t="shared" si="16"/>
        <v>0</v>
      </c>
      <c r="G23" s="52">
        <f t="shared" si="16"/>
        <v>187019588.59999999</v>
      </c>
      <c r="H23" s="52">
        <f t="shared" si="16"/>
        <v>1682983</v>
      </c>
      <c r="I23" s="52">
        <f t="shared" si="16"/>
        <v>42782633</v>
      </c>
      <c r="J23" s="52">
        <f t="shared" si="16"/>
        <v>29247255</v>
      </c>
      <c r="K23" s="52">
        <f t="shared" si="16"/>
        <v>207315050</v>
      </c>
      <c r="L23" s="52">
        <f t="shared" si="16"/>
        <v>0</v>
      </c>
      <c r="M23" s="52">
        <f>IF(SUM(C23:L23)=(M21+M22),M21+M22,"ERROR")</f>
        <v>905369153.45999992</v>
      </c>
      <c r="N23" s="73"/>
      <c r="O23" s="67" t="s">
        <v>33</v>
      </c>
      <c r="P23" s="68"/>
      <c r="Q23" s="27">
        <f t="shared" ref="Q23:AA23" si="17">Q21+Q22</f>
        <v>0</v>
      </c>
      <c r="R23" s="27">
        <f t="shared" si="17"/>
        <v>245825000</v>
      </c>
      <c r="S23" s="27">
        <f>S21+S22</f>
        <v>0</v>
      </c>
      <c r="T23" s="45">
        <f t="shared" si="17"/>
        <v>0</v>
      </c>
      <c r="U23" s="27">
        <f t="shared" si="17"/>
        <v>1239000</v>
      </c>
      <c r="V23" s="45">
        <f t="shared" si="17"/>
        <v>47156118</v>
      </c>
      <c r="W23" s="27">
        <f t="shared" si="17"/>
        <v>13858000</v>
      </c>
      <c r="X23" s="27">
        <f t="shared" si="17"/>
        <v>142779883</v>
      </c>
      <c r="Y23" s="45">
        <f t="shared" si="17"/>
        <v>2152400</v>
      </c>
      <c r="Z23" s="27">
        <f t="shared" si="17"/>
        <v>15500000</v>
      </c>
      <c r="AA23" s="27">
        <f t="shared" si="17"/>
        <v>0</v>
      </c>
      <c r="AB23" s="27">
        <f>IF(SUM(Q23:AA23)=(AB21+AB22),AB21+AB22,"ERROR")</f>
        <v>468510401</v>
      </c>
      <c r="AC23" s="40">
        <v>267822245.19999999</v>
      </c>
      <c r="AD23" s="28">
        <f>AB23+AC23</f>
        <v>736332646.20000005</v>
      </c>
      <c r="AE23" s="29" t="str">
        <f>IF(AD23="ERROR",(AB23+AC23)-M23,"OK")</f>
        <v>OK</v>
      </c>
    </row>
    <row r="24" spans="1:31" x14ac:dyDescent="0.25">
      <c r="A24" s="20">
        <v>11</v>
      </c>
      <c r="B24" s="22" t="s">
        <v>23</v>
      </c>
      <c r="C24" s="51"/>
      <c r="D24" s="51">
        <v>0</v>
      </c>
      <c r="E24" s="51"/>
      <c r="F24" s="51"/>
      <c r="G24" s="51"/>
      <c r="H24" s="51"/>
      <c r="I24" s="51"/>
      <c r="J24" s="51"/>
      <c r="K24" s="51">
        <v>30475100</v>
      </c>
      <c r="L24" s="51"/>
      <c r="M24" s="51">
        <f>SUM(C24:L24)</f>
        <v>30475100</v>
      </c>
      <c r="N24" s="73"/>
      <c r="O24" s="20">
        <v>11</v>
      </c>
      <c r="P24" s="22" t="s">
        <v>23</v>
      </c>
      <c r="Q24" s="23"/>
      <c r="R24" s="23">
        <v>135000</v>
      </c>
      <c r="S24" s="23"/>
      <c r="T24" s="48"/>
      <c r="U24" s="23"/>
      <c r="V24" s="48"/>
      <c r="W24" s="23">
        <v>150000</v>
      </c>
      <c r="X24" s="23">
        <v>21475100</v>
      </c>
      <c r="Y24" s="48"/>
      <c r="Z24" s="23">
        <v>1700000</v>
      </c>
      <c r="AA24" s="23"/>
      <c r="AB24" s="23">
        <f>SUM(Q24:AA24)</f>
        <v>23460100</v>
      </c>
      <c r="AC24" s="23" t="s">
        <v>42</v>
      </c>
      <c r="AD24" s="24"/>
      <c r="AE24" s="7"/>
    </row>
    <row r="25" spans="1:31" s="30" customFormat="1" x14ac:dyDescent="0.25">
      <c r="A25" s="67" t="s">
        <v>33</v>
      </c>
      <c r="B25" s="68"/>
      <c r="C25" s="52">
        <f t="shared" ref="C25:L25" si="18">C23+C24</f>
        <v>0</v>
      </c>
      <c r="D25" s="52">
        <f t="shared" si="18"/>
        <v>411070000</v>
      </c>
      <c r="E25" s="52">
        <f t="shared" si="18"/>
        <v>26251643.859999999</v>
      </c>
      <c r="F25" s="52">
        <f t="shared" si="18"/>
        <v>0</v>
      </c>
      <c r="G25" s="52">
        <f t="shared" si="18"/>
        <v>187019588.59999999</v>
      </c>
      <c r="H25" s="52">
        <f t="shared" si="18"/>
        <v>1682983</v>
      </c>
      <c r="I25" s="52">
        <f>I23+I24</f>
        <v>42782633</v>
      </c>
      <c r="J25" s="52">
        <f t="shared" si="18"/>
        <v>29247255</v>
      </c>
      <c r="K25" s="52">
        <f t="shared" si="18"/>
        <v>237790150</v>
      </c>
      <c r="L25" s="52">
        <f t="shared" si="18"/>
        <v>0</v>
      </c>
      <c r="M25" s="52">
        <f>IF(SUM(C25:L25)=(M23+M24),M23+M24,"ERROR")</f>
        <v>935844253.45999992</v>
      </c>
      <c r="N25" s="73"/>
      <c r="O25" s="67" t="s">
        <v>33</v>
      </c>
      <c r="P25" s="68"/>
      <c r="Q25" s="27">
        <f t="shared" ref="Q25:AA25" si="19">Q23+Q24</f>
        <v>0</v>
      </c>
      <c r="R25" s="27">
        <f t="shared" si="19"/>
        <v>245960000</v>
      </c>
      <c r="S25" s="27">
        <f>S23+S24</f>
        <v>0</v>
      </c>
      <c r="T25" s="45">
        <f t="shared" si="19"/>
        <v>0</v>
      </c>
      <c r="U25" s="27">
        <f t="shared" si="19"/>
        <v>1239000</v>
      </c>
      <c r="V25" s="45">
        <f t="shared" si="19"/>
        <v>47156118</v>
      </c>
      <c r="W25" s="27">
        <f t="shared" si="19"/>
        <v>14008000</v>
      </c>
      <c r="X25" s="27">
        <f t="shared" si="19"/>
        <v>164254983</v>
      </c>
      <c r="Y25" s="45">
        <f t="shared" si="19"/>
        <v>2152400</v>
      </c>
      <c r="Z25" s="27">
        <f t="shared" si="19"/>
        <v>17200000</v>
      </c>
      <c r="AA25" s="27">
        <f t="shared" si="19"/>
        <v>0</v>
      </c>
      <c r="AB25" s="27">
        <f>IF(SUM(Q25:AA25)=(AB23+AB24),AB23+AB24,"ERROR")</f>
        <v>491970501</v>
      </c>
      <c r="AC25" s="47">
        <v>274837245.19999999</v>
      </c>
      <c r="AD25" s="28">
        <f>AB25+AC25</f>
        <v>766807746.20000005</v>
      </c>
      <c r="AE25" s="29" t="str">
        <f>IF(AD25="ERROR",(AB25+AC25)-M25,"OK")</f>
        <v>OK</v>
      </c>
    </row>
    <row r="26" spans="1:31" x14ac:dyDescent="0.25">
      <c r="A26" s="20">
        <v>12</v>
      </c>
      <c r="B26" s="22" t="s">
        <v>24</v>
      </c>
      <c r="C26" s="51"/>
      <c r="D26" s="51">
        <v>59100000</v>
      </c>
      <c r="E26" s="51"/>
      <c r="F26" s="51"/>
      <c r="G26" s="51"/>
      <c r="H26" s="51">
        <v>0</v>
      </c>
      <c r="I26" s="51"/>
      <c r="J26" s="51"/>
      <c r="K26" s="51">
        <v>36244300</v>
      </c>
      <c r="L26" s="51"/>
      <c r="M26" s="51">
        <f>SUM(C26:L26)</f>
        <v>95344300</v>
      </c>
      <c r="N26" s="73"/>
      <c r="O26" s="20">
        <v>12</v>
      </c>
      <c r="P26" s="22" t="s">
        <v>24</v>
      </c>
      <c r="Q26" s="23"/>
      <c r="R26" s="23">
        <v>20255000</v>
      </c>
      <c r="S26" s="23"/>
      <c r="T26" s="48"/>
      <c r="U26" s="23"/>
      <c r="V26" s="48"/>
      <c r="W26" s="23">
        <v>854000</v>
      </c>
      <c r="X26" s="23">
        <v>26744300</v>
      </c>
      <c r="Y26" s="48">
        <v>0</v>
      </c>
      <c r="Z26" s="23">
        <v>1500000</v>
      </c>
      <c r="AA26" s="23"/>
      <c r="AB26" s="23">
        <f>SUM(Q26:AA26)</f>
        <v>49353300</v>
      </c>
      <c r="AC26" s="23"/>
      <c r="AD26" s="24"/>
      <c r="AE26" s="7"/>
    </row>
    <row r="27" spans="1:31" s="30" customFormat="1" x14ac:dyDescent="0.25">
      <c r="A27" s="67" t="s">
        <v>33</v>
      </c>
      <c r="B27" s="68"/>
      <c r="C27" s="52">
        <f t="shared" ref="C27:L27" si="20">C25+C26</f>
        <v>0</v>
      </c>
      <c r="D27" s="52">
        <f t="shared" si="20"/>
        <v>470170000</v>
      </c>
      <c r="E27" s="52">
        <f t="shared" si="20"/>
        <v>26251643.859999999</v>
      </c>
      <c r="F27" s="52">
        <f t="shared" si="20"/>
        <v>0</v>
      </c>
      <c r="G27" s="52">
        <f t="shared" si="20"/>
        <v>187019588.59999999</v>
      </c>
      <c r="H27" s="52">
        <f t="shared" si="20"/>
        <v>1682983</v>
      </c>
      <c r="I27" s="52">
        <f t="shared" si="20"/>
        <v>42782633</v>
      </c>
      <c r="J27" s="52">
        <f t="shared" si="20"/>
        <v>29247255</v>
      </c>
      <c r="K27" s="52">
        <f t="shared" si="20"/>
        <v>274034450</v>
      </c>
      <c r="L27" s="52">
        <f t="shared" si="20"/>
        <v>0</v>
      </c>
      <c r="M27" s="52">
        <f>IF(SUM(C27:L27)=(M25+M26),M25+M26,"ERROR")</f>
        <v>1031188553.4599999</v>
      </c>
      <c r="N27" s="73"/>
      <c r="O27" s="67" t="s">
        <v>33</v>
      </c>
      <c r="P27" s="68"/>
      <c r="Q27" s="27">
        <f t="shared" ref="Q27:AA27" si="21">Q25+Q26</f>
        <v>0</v>
      </c>
      <c r="R27" s="27">
        <f t="shared" si="21"/>
        <v>266215000</v>
      </c>
      <c r="S27" s="27">
        <f t="shared" si="21"/>
        <v>0</v>
      </c>
      <c r="T27" s="45">
        <f t="shared" si="21"/>
        <v>0</v>
      </c>
      <c r="U27" s="27">
        <f t="shared" si="21"/>
        <v>1239000</v>
      </c>
      <c r="V27" s="45">
        <f t="shared" si="21"/>
        <v>47156118</v>
      </c>
      <c r="W27" s="27">
        <f t="shared" si="21"/>
        <v>14862000</v>
      </c>
      <c r="X27" s="27">
        <f t="shared" si="21"/>
        <v>190999283</v>
      </c>
      <c r="Y27" s="45">
        <f t="shared" si="21"/>
        <v>2152400</v>
      </c>
      <c r="Z27" s="27">
        <f t="shared" si="21"/>
        <v>18700000</v>
      </c>
      <c r="AA27" s="27">
        <f t="shared" si="21"/>
        <v>0</v>
      </c>
      <c r="AB27" s="27">
        <f>IF(SUM(Q27:AA27)=(AB25+AB26),AB25+AB26,"ERROR")</f>
        <v>541323801</v>
      </c>
      <c r="AC27" s="47">
        <v>345762164.60000002</v>
      </c>
      <c r="AD27" s="46" t="str">
        <f>IF((AB27+AC27)=M27,M27,"ERROR")</f>
        <v>ERROR</v>
      </c>
      <c r="AE27" s="29">
        <f>IF(AD27="ERROR",(AB27+AC27)-M27,"OK")</f>
        <v>-144102587.8599999</v>
      </c>
    </row>
    <row r="28" spans="1:31" x14ac:dyDescent="0.25">
      <c r="A28" s="20">
        <v>13</v>
      </c>
      <c r="B28" s="22" t="s">
        <v>25</v>
      </c>
      <c r="C28" s="51"/>
      <c r="D28" s="51">
        <v>71000000</v>
      </c>
      <c r="E28" s="51"/>
      <c r="F28" s="51"/>
      <c r="G28" s="51"/>
      <c r="H28" s="51">
        <v>3845000</v>
      </c>
      <c r="I28" s="51"/>
      <c r="J28" s="51"/>
      <c r="K28" s="54">
        <v>14653000</v>
      </c>
      <c r="L28" s="51"/>
      <c r="M28" s="51">
        <f>SUM(C28:L28)</f>
        <v>89498000</v>
      </c>
      <c r="N28" s="73"/>
      <c r="O28" s="20">
        <v>13</v>
      </c>
      <c r="P28" s="22" t="s">
        <v>25</v>
      </c>
      <c r="Q28" s="23"/>
      <c r="R28" s="23">
        <v>123792000</v>
      </c>
      <c r="S28" s="23"/>
      <c r="T28" s="48"/>
      <c r="U28" s="23">
        <v>500000</v>
      </c>
      <c r="V28" s="48"/>
      <c r="W28" s="23">
        <v>0</v>
      </c>
      <c r="X28" s="23">
        <v>5353000</v>
      </c>
      <c r="Y28" s="48">
        <v>0</v>
      </c>
      <c r="Z28" s="23">
        <v>32300000</v>
      </c>
      <c r="AA28" s="23"/>
      <c r="AB28" s="23">
        <f>SUM(Q28:AA28)</f>
        <v>161945000</v>
      </c>
      <c r="AC28" s="27"/>
      <c r="AD28" s="24"/>
      <c r="AE28" s="7"/>
    </row>
    <row r="29" spans="1:31" s="30" customFormat="1" x14ac:dyDescent="0.25">
      <c r="A29" s="67" t="s">
        <v>33</v>
      </c>
      <c r="B29" s="68"/>
      <c r="C29" s="52">
        <f t="shared" ref="C29:L29" si="22">C27+C28</f>
        <v>0</v>
      </c>
      <c r="D29" s="52">
        <f t="shared" si="22"/>
        <v>541170000</v>
      </c>
      <c r="E29" s="52">
        <f t="shared" si="22"/>
        <v>26251643.859999999</v>
      </c>
      <c r="F29" s="52">
        <f t="shared" si="22"/>
        <v>0</v>
      </c>
      <c r="G29" s="52">
        <f t="shared" si="22"/>
        <v>187019588.59999999</v>
      </c>
      <c r="H29" s="52">
        <f t="shared" si="22"/>
        <v>5527983</v>
      </c>
      <c r="I29" s="52">
        <f t="shared" si="22"/>
        <v>42782633</v>
      </c>
      <c r="J29" s="52">
        <f t="shared" si="22"/>
        <v>29247255</v>
      </c>
      <c r="K29" s="52">
        <f>K27+K28</f>
        <v>288687450</v>
      </c>
      <c r="L29" s="52">
        <f t="shared" si="22"/>
        <v>0</v>
      </c>
      <c r="M29" s="52">
        <f>IF(SUM(C29:L29)=(M27+M28),M27+M28,"ERROR")</f>
        <v>1120686553.46</v>
      </c>
      <c r="N29" s="73"/>
      <c r="O29" s="67" t="s">
        <v>33</v>
      </c>
      <c r="P29" s="68"/>
      <c r="Q29" s="27">
        <f t="shared" ref="Q29:AA29" si="23">Q27+Q28</f>
        <v>0</v>
      </c>
      <c r="R29" s="27">
        <f t="shared" si="23"/>
        <v>390007000</v>
      </c>
      <c r="S29" s="27">
        <f t="shared" si="23"/>
        <v>0</v>
      </c>
      <c r="T29" s="45">
        <f t="shared" si="23"/>
        <v>0</v>
      </c>
      <c r="U29" s="27">
        <f t="shared" si="23"/>
        <v>1739000</v>
      </c>
      <c r="V29" s="45">
        <f t="shared" si="23"/>
        <v>47156118</v>
      </c>
      <c r="W29" s="27">
        <f t="shared" si="23"/>
        <v>14862000</v>
      </c>
      <c r="X29" s="27">
        <f>X27+X28</f>
        <v>196352283</v>
      </c>
      <c r="Y29" s="45">
        <f t="shared" si="23"/>
        <v>2152400</v>
      </c>
      <c r="Z29" s="27">
        <f t="shared" si="23"/>
        <v>51000000</v>
      </c>
      <c r="AA29" s="27">
        <f t="shared" si="23"/>
        <v>0</v>
      </c>
      <c r="AB29" s="27">
        <f>IF(SUM(Q29:AA29)=(AB27+AB28),AB27+AB28,"ERROR")</f>
        <v>703268801</v>
      </c>
      <c r="AC29" s="40">
        <v>273315164.60000002</v>
      </c>
      <c r="AD29" s="46" t="str">
        <f>IF((AB29+AC29)=M29,M29,"ERROR")</f>
        <v>ERROR</v>
      </c>
      <c r="AE29" s="29">
        <f>IF(AD29="ERROR",(AB29+AC29)-M29,"OK")</f>
        <v>-144102587.86000001</v>
      </c>
    </row>
    <row r="30" spans="1:31" x14ac:dyDescent="0.25">
      <c r="AB30" s="23"/>
      <c r="AC30" t="s">
        <v>41</v>
      </c>
    </row>
    <row r="32" spans="1:31" x14ac:dyDescent="0.25">
      <c r="H32" s="54"/>
      <c r="L32" s="54"/>
    </row>
    <row r="33" spans="4:24" x14ac:dyDescent="0.25">
      <c r="D33" s="57">
        <f>D29-R29</f>
        <v>151163000</v>
      </c>
      <c r="E33" s="57">
        <f>E29-S29</f>
        <v>26251643.859999999</v>
      </c>
      <c r="H33" s="57">
        <f>H29-U29</f>
        <v>3788983</v>
      </c>
      <c r="J33" s="57">
        <f>J29-W29</f>
        <v>14385255</v>
      </c>
      <c r="V33" s="56">
        <f>X29-X5</f>
        <v>178759318</v>
      </c>
      <c r="X33" s="56">
        <f>X29-X5</f>
        <v>178759318</v>
      </c>
    </row>
  </sheetData>
  <mergeCells count="51">
    <mergeCell ref="A1:AE2"/>
    <mergeCell ref="M3:M4"/>
    <mergeCell ref="A7:B7"/>
    <mergeCell ref="A3:A4"/>
    <mergeCell ref="B3:B4"/>
    <mergeCell ref="C3:E3"/>
    <mergeCell ref="F3:F4"/>
    <mergeCell ref="G3:G4"/>
    <mergeCell ref="H3:H4"/>
    <mergeCell ref="AA3:AA4"/>
    <mergeCell ref="N3:N29"/>
    <mergeCell ref="A9:B9"/>
    <mergeCell ref="A11:B11"/>
    <mergeCell ref="A13:B13"/>
    <mergeCell ref="A15:B15"/>
    <mergeCell ref="A17:B17"/>
    <mergeCell ref="A19:B19"/>
    <mergeCell ref="I3:I4"/>
    <mergeCell ref="J3:J4"/>
    <mergeCell ref="K3:K4"/>
    <mergeCell ref="L3:L4"/>
    <mergeCell ref="A21:B21"/>
    <mergeCell ref="A23:B23"/>
    <mergeCell ref="A25:B25"/>
    <mergeCell ref="A27:B27"/>
    <mergeCell ref="A29:B29"/>
    <mergeCell ref="O27:P27"/>
    <mergeCell ref="O29:P29"/>
    <mergeCell ref="O7:P7"/>
    <mergeCell ref="O9:P9"/>
    <mergeCell ref="O11:P11"/>
    <mergeCell ref="O13:P13"/>
    <mergeCell ref="O15:P15"/>
    <mergeCell ref="O17:P17"/>
    <mergeCell ref="O25:P25"/>
    <mergeCell ref="AC3:AC4"/>
    <mergeCell ref="AE3:AE4"/>
    <mergeCell ref="O19:P19"/>
    <mergeCell ref="O21:P21"/>
    <mergeCell ref="O23:P23"/>
    <mergeCell ref="AB3:AB4"/>
    <mergeCell ref="W3:W4"/>
    <mergeCell ref="X3:X4"/>
    <mergeCell ref="Y3:Y4"/>
    <mergeCell ref="Z3:Z4"/>
    <mergeCell ref="O3:O4"/>
    <mergeCell ref="P3:P4"/>
    <mergeCell ref="Q3:S3"/>
    <mergeCell ref="T3:T4"/>
    <mergeCell ref="U3:U4"/>
    <mergeCell ref="V3:V4"/>
  </mergeCells>
  <pageMargins left="0.95" right="0.7" top="0.75" bottom="0.75" header="0.3" footer="0.3"/>
  <pageSetup paperSize="1000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"/>
  <sheetViews>
    <sheetView topLeftCell="D1" workbookViewId="0">
      <selection activeCell="H18" sqref="H18"/>
    </sheetView>
  </sheetViews>
  <sheetFormatPr defaultColWidth="15.7109375" defaultRowHeight="15" x14ac:dyDescent="0.25"/>
  <cols>
    <col min="1" max="5" width="15.7109375" style="13"/>
    <col min="6" max="6" width="18.42578125" style="13" customWidth="1"/>
    <col min="7" max="7" width="15.7109375" style="13" customWidth="1"/>
    <col min="8" max="8" width="15.7109375" style="13"/>
    <col min="9" max="9" width="16.5703125" style="13" bestFit="1" customWidth="1"/>
    <col min="10" max="16384" width="15.7109375" style="13"/>
  </cols>
  <sheetData>
    <row r="1" spans="1:11" x14ac:dyDescent="0.25">
      <c r="A1" s="13" t="s">
        <v>39</v>
      </c>
      <c r="B1" s="13">
        <v>2750629</v>
      </c>
      <c r="C1" s="13">
        <v>1375314</v>
      </c>
    </row>
    <row r="2" spans="1:11" x14ac:dyDescent="0.25">
      <c r="A2" s="13" t="s">
        <v>40</v>
      </c>
      <c r="B2" s="13">
        <v>6481250</v>
      </c>
      <c r="C2" s="13">
        <v>10730950</v>
      </c>
    </row>
    <row r="3" spans="1:11" x14ac:dyDescent="0.25">
      <c r="A3" s="13" t="s">
        <v>27</v>
      </c>
      <c r="B3" s="13">
        <v>400000</v>
      </c>
      <c r="C3" s="13">
        <v>50000</v>
      </c>
    </row>
    <row r="5" spans="1:11" x14ac:dyDescent="0.25">
      <c r="A5" s="13" t="s">
        <v>11</v>
      </c>
      <c r="B5" s="13">
        <v>6875400</v>
      </c>
      <c r="C5" s="13">
        <v>9177200</v>
      </c>
    </row>
    <row r="10" spans="1:11" x14ac:dyDescent="0.25">
      <c r="F10" s="13">
        <v>12548500</v>
      </c>
      <c r="G10" s="13">
        <v>2715500</v>
      </c>
      <c r="H10" s="13">
        <v>5480500</v>
      </c>
      <c r="I10" s="13">
        <v>525000</v>
      </c>
      <c r="J10" s="13">
        <v>1975000</v>
      </c>
      <c r="K10" s="13">
        <f>SUM(F10:J10)</f>
        <v>23244500</v>
      </c>
    </row>
    <row r="11" spans="1:11" x14ac:dyDescent="0.25">
      <c r="F11" s="13">
        <v>214618500</v>
      </c>
      <c r="G11" s="13">
        <v>182004662</v>
      </c>
      <c r="H11" s="13">
        <f>F11-G11</f>
        <v>32613838</v>
      </c>
      <c r="I11" s="13">
        <v>7711500</v>
      </c>
      <c r="J11" s="13">
        <f>H11-I11</f>
        <v>24902338</v>
      </c>
    </row>
    <row r="12" spans="1:11" x14ac:dyDescent="0.25">
      <c r="F12" s="13">
        <v>12177000</v>
      </c>
      <c r="G12" s="13">
        <v>8323500</v>
      </c>
      <c r="H12" s="13">
        <v>8034058</v>
      </c>
      <c r="I12" s="13">
        <f>SUM(F12:H12)</f>
        <v>28534558</v>
      </c>
    </row>
    <row r="13" spans="1:11" x14ac:dyDescent="0.25">
      <c r="F13" s="13">
        <v>9177000</v>
      </c>
      <c r="G13" s="13">
        <v>8323500</v>
      </c>
      <c r="H13" s="13">
        <v>5034058</v>
      </c>
      <c r="I13" s="13">
        <f>SUM(F13:H13)</f>
        <v>22534558</v>
      </c>
    </row>
    <row r="14" spans="1:11" x14ac:dyDescent="0.25">
      <c r="F14" s="13">
        <v>243153058</v>
      </c>
      <c r="G14" s="13">
        <v>204539220</v>
      </c>
      <c r="H14" s="13">
        <f>F14-G14</f>
        <v>38613838</v>
      </c>
      <c r="I14" s="13">
        <v>8411500</v>
      </c>
      <c r="J14" s="13">
        <f>H14-I14</f>
        <v>30202338</v>
      </c>
    </row>
    <row r="15" spans="1:11" x14ac:dyDescent="0.25">
      <c r="A15" s="15">
        <v>1254400</v>
      </c>
      <c r="B15" s="16">
        <v>9395000</v>
      </c>
      <c r="C15" s="17">
        <v>3332922.94</v>
      </c>
      <c r="D15" s="3"/>
      <c r="E15" s="17"/>
      <c r="F15" s="40">
        <v>104748118</v>
      </c>
      <c r="G15" s="17"/>
      <c r="H15" s="17"/>
      <c r="I15" s="18"/>
      <c r="J15" s="3"/>
    </row>
    <row r="16" spans="1:11" x14ac:dyDescent="0.25">
      <c r="E16" s="14"/>
      <c r="F16" s="26">
        <v>35000000</v>
      </c>
    </row>
    <row r="17" spans="6:8" x14ac:dyDescent="0.25">
      <c r="F17" s="13">
        <f>F15-F16</f>
        <v>69748118</v>
      </c>
    </row>
    <row r="18" spans="6:8" x14ac:dyDescent="0.25">
      <c r="F18" s="13">
        <v>12338500</v>
      </c>
      <c r="G18" s="13">
        <v>1808480</v>
      </c>
      <c r="H18" s="13">
        <f>F18+G18</f>
        <v>14146980</v>
      </c>
    </row>
  </sheetData>
  <pageMargins left="0.7" right="0.7" top="0.75" bottom="0.75" header="0.3" footer="0.3"/>
  <pageSetup paperSize="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Pemasukan</vt:lpstr>
      <vt:lpstr>Data Pengeluaran</vt:lpstr>
      <vt:lpstr>Hasil Pemasukan</vt:lpstr>
      <vt:lpstr>Hasil Pengeluaran</vt:lpstr>
      <vt:lpstr>Hasil Akhir</vt:lpstr>
      <vt:lpstr>kotretan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axioo</dc:creator>
  <cp:lastModifiedBy>Lenovo</cp:lastModifiedBy>
  <cp:lastPrinted>2018-01-04T16:02:16Z</cp:lastPrinted>
  <dcterms:created xsi:type="dcterms:W3CDTF">2011-06-19T15:04:39Z</dcterms:created>
  <dcterms:modified xsi:type="dcterms:W3CDTF">2025-06-24T03:15:54Z</dcterms:modified>
</cp:coreProperties>
</file>